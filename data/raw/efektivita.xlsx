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svatko/Desktop/dr_max/"/>
    </mc:Choice>
  </mc:AlternateContent>
  <xr:revisionPtr revIDLastSave="0" documentId="13_ncr:1_{FEC9B70E-6E15-5A48-997D-E1BC8700110A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Sheet1!$A$4:$L$105</definedName>
    <definedName name="_xlnm._FilterDatabase" localSheetId="1" hidden="1">Sheet2!$A$4:$L$105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6" i="3" l="1"/>
  <c r="R66" i="3"/>
  <c r="P66" i="3"/>
  <c r="F276" i="3"/>
  <c r="F231" i="3"/>
  <c r="F167" i="3"/>
  <c r="F276" i="1"/>
  <c r="F231" i="1"/>
  <c r="F167" i="1"/>
</calcChain>
</file>

<file path=xl/sharedStrings.xml><?xml version="1.0" encoding="utf-8"?>
<sst xmlns="http://schemas.openxmlformats.org/spreadsheetml/2006/main" count="2288" uniqueCount="545">
  <si>
    <t>id</t>
  </si>
  <si>
    <t>trzby</t>
  </si>
  <si>
    <t>naklady</t>
  </si>
  <si>
    <t>bonus</t>
  </si>
  <si>
    <t>bloky</t>
  </si>
  <si>
    <t>kpi</t>
  </si>
  <si>
    <t>typ</t>
  </si>
  <si>
    <t>regional</t>
  </si>
  <si>
    <t>mesto</t>
  </si>
  <si>
    <t>hodnota_bloku</t>
  </si>
  <si>
    <t>save</t>
  </si>
  <si>
    <t>save_perc</t>
  </si>
  <si>
    <t>2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</si>
  <si>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</si>
  <si>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</si>
  <si>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</si>
  <si>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</si>
  <si>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</si>
  <si>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</si>
  <si>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</si>
  <si>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</si>
  <si>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</si>
  <si>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</si>
  <si>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</si>
  <si>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</si>
  <si>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</si>
  <si>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</si>
  <si>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22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</si>
  <si>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</si>
  <si>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</si>
  <si>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</si>
  <si>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</si>
  <si>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</si>
  <si>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</si>
  <si>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</si>
  <si>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</si>
  <si>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</si>
  <si>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</si>
  <si>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</si>
  <si>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</si>
  <si>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</si>
  <si>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</si>
  <si>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</si>
  <si>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</si>
  <si>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</si>
  <si>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</si>
  <si>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</si>
  <si>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</si>
  <si>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</si>
  <si>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</si>
  <si>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</si>
  <si>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</si>
  <si>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</si>
  <si>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</si>
  <si>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</si>
  <si>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</si>
  <si>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</si>
  <si>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</si>
  <si>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</si>
  <si>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</si>
  <si>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</si>
  <si>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</si>
  <si>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</si>
  <si>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</si>
  <si>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</si>
  <si>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</si>
  <si>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</si>
  <si>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</si>
  <si>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</si>
  <si>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</si>
  <si>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197</t>
  </si>
  <si>
    <t>107</t>
  </si>
  <si>
    <t>145</t>
  </si>
  <si>
    <t>196</t>
  </si>
  <si>
    <t>223</t>
  </si>
  <si>
    <t>84</t>
  </si>
  <si>
    <t>296</t>
  </si>
  <si>
    <t>207</t>
  </si>
  <si>
    <t>80</t>
  </si>
  <si>
    <t>291</t>
  </si>
  <si>
    <t>76</t>
  </si>
  <si>
    <t>192</t>
  </si>
  <si>
    <t>308</t>
  </si>
  <si>
    <t>299</t>
  </si>
  <si>
    <t>251</t>
  </si>
  <si>
    <t>307</t>
  </si>
  <si>
    <t>74</t>
  </si>
  <si>
    <t>151</t>
  </si>
  <si>
    <t>163</t>
  </si>
  <si>
    <t>602</t>
  </si>
  <si>
    <t>618</t>
  </si>
  <si>
    <t>627</t>
  </si>
  <si>
    <t>174</t>
  </si>
  <si>
    <t>141</t>
  </si>
  <si>
    <t>146</t>
  </si>
  <si>
    <t>616</t>
  </si>
  <si>
    <t>90</t>
  </si>
  <si>
    <t>212</t>
  </si>
  <si>
    <t>92</t>
  </si>
  <si>
    <t>228</t>
  </si>
  <si>
    <t>195</t>
  </si>
  <si>
    <t>292</t>
  </si>
  <si>
    <t>617</t>
  </si>
  <si>
    <t>297</t>
  </si>
  <si>
    <t>82</t>
  </si>
  <si>
    <t>73</t>
  </si>
  <si>
    <t>162</t>
  </si>
  <si>
    <t>178</t>
  </si>
  <si>
    <t>77</t>
  </si>
  <si>
    <t>177</t>
  </si>
  <si>
    <t>72</t>
  </si>
  <si>
    <t>86</t>
  </si>
  <si>
    <t>298</t>
  </si>
  <si>
    <t>300</t>
  </si>
  <si>
    <t>87</t>
  </si>
  <si>
    <t>149</t>
  </si>
  <si>
    <t>A - shopping premium</t>
  </si>
  <si>
    <t>B - shopping</t>
  </si>
  <si>
    <t>RR15_Miroslava Kolesarova</t>
  </si>
  <si>
    <t>RR16_Robert Kardos</t>
  </si>
  <si>
    <t>RR13_Slavomir Bodnar</t>
  </si>
  <si>
    <t>RR9_Andrej Jakubik</t>
  </si>
  <si>
    <t>RR6_Jaroslav Vigh</t>
  </si>
  <si>
    <t>RR5_Juraj Hvorecky</t>
  </si>
  <si>
    <t>RR11_Andrej Kukucka</t>
  </si>
  <si>
    <t>RR12_Alena Romanova</t>
  </si>
  <si>
    <t>RR1_Beata Kubanova</t>
  </si>
  <si>
    <t>RR8_Katarina Kuchtova</t>
  </si>
  <si>
    <t>RR3_Jana Majernikova</t>
  </si>
  <si>
    <t>RR2_Silvia Mastikova</t>
  </si>
  <si>
    <t>RR4_Radovan Kalmar</t>
  </si>
  <si>
    <t>RR7_Ivana Ilanovska</t>
  </si>
  <si>
    <t>RR14_Zsolt Balogh</t>
  </si>
  <si>
    <t>Bratislava, Central</t>
  </si>
  <si>
    <t>LIDL,KARLOVA VES</t>
  </si>
  <si>
    <t>Bratislava, Kaufland</t>
  </si>
  <si>
    <t>Bratislava, Eurovea</t>
  </si>
  <si>
    <t>Bratislava, Aupark</t>
  </si>
  <si>
    <t>Bratislava, Kaufland Raca</t>
  </si>
  <si>
    <t>Bratislava, Kaufland Trnavska</t>
  </si>
  <si>
    <t>Puchov, Kaufland</t>
  </si>
  <si>
    <t>Brezno, TESCO</t>
  </si>
  <si>
    <t>Trencin, Kaufland</t>
  </si>
  <si>
    <t>Zvolen, Kaufland</t>
  </si>
  <si>
    <t>Senica, Kaufland</t>
  </si>
  <si>
    <t>Levice, TESCO</t>
  </si>
  <si>
    <t>Piestany, Tesco</t>
  </si>
  <si>
    <t>Kosice - Tahanovce</t>
  </si>
  <si>
    <t>Ban. Bystrica, Kaufland</t>
  </si>
  <si>
    <t>Zilina, Kaufland</t>
  </si>
  <si>
    <t>Sala, Kaufland</t>
  </si>
  <si>
    <t>Kosice, Tesco</t>
  </si>
  <si>
    <t>Bardejov, Hypernova</t>
  </si>
  <si>
    <t>Galanta, TESCO</t>
  </si>
  <si>
    <t>Nitra, BILLA</t>
  </si>
  <si>
    <t>Povazska Bystrica, Kaufland</t>
  </si>
  <si>
    <t>Senec, Tesco</t>
  </si>
  <si>
    <t>Kaufland Pezinok</t>
  </si>
  <si>
    <t>Kosice, Kaufland Popradska</t>
  </si>
  <si>
    <t>Kaufland, Trnava</t>
  </si>
  <si>
    <t>Rimavska Sobota, Kaufland</t>
  </si>
  <si>
    <t>Martin, Kaufland</t>
  </si>
  <si>
    <t>Bratislava, Bory</t>
  </si>
  <si>
    <t>Roznava, Kaufland</t>
  </si>
  <si>
    <t>Zilina, Max</t>
  </si>
  <si>
    <t>Ban. Bystrica, Kaufland (DZ)</t>
  </si>
  <si>
    <t>Trencin, Laugaricio</t>
  </si>
  <si>
    <t>Nitra, Kaufland</t>
  </si>
  <si>
    <t>Humenne, Kaufland</t>
  </si>
  <si>
    <t>Kaufland Kosice</t>
  </si>
  <si>
    <t>Cadca, Kaufland</t>
  </si>
  <si>
    <t>Bratislava, Kaufland Podunajske B.</t>
  </si>
  <si>
    <t>Martin, Tulip</t>
  </si>
  <si>
    <t>Zlate Moravce, Tesco</t>
  </si>
  <si>
    <t>Bratislava, Kaufland Petrzalka</t>
  </si>
  <si>
    <t>Kaufland, Dolny Kubin</t>
  </si>
  <si>
    <t>Malacky, Kaufland</t>
  </si>
  <si>
    <t>Lipt. Mikulas, Kaufland</t>
  </si>
  <si>
    <t>Kosice, Kaufland Galeria</t>
  </si>
  <si>
    <t>Presov, Tesco</t>
  </si>
  <si>
    <t>Piestany, Kaufland</t>
  </si>
  <si>
    <t>Kaufland, Poprad</t>
  </si>
  <si>
    <t>Michalovce, TESCO</t>
  </si>
  <si>
    <t>Trnava, Max</t>
  </si>
  <si>
    <t>Trnava, Tesco</t>
  </si>
  <si>
    <t>Dunajska Streda, Kaufland</t>
  </si>
  <si>
    <t>Presov, Kaufland</t>
  </si>
  <si>
    <t>Spis.N.Ves, Kaufland</t>
  </si>
  <si>
    <t>Bardejov, Kaufland</t>
  </si>
  <si>
    <t>TESCO, Roznava</t>
  </si>
  <si>
    <t>Trnava, Kaufland</t>
  </si>
  <si>
    <t>Komarno, Kaufland</t>
  </si>
  <si>
    <t>TESCO, Povazska Bystrica</t>
  </si>
  <si>
    <t>Ruzomberok, Kaufland</t>
  </si>
  <si>
    <t>Michalovce, Kaufland</t>
  </si>
  <si>
    <t>Spis.N.Ves, OC Madaras</t>
  </si>
  <si>
    <t>Stara Lubovna, Kaufland</t>
  </si>
  <si>
    <t>Kezmarok, Kaufland</t>
  </si>
  <si>
    <t>Sered, Kaufland</t>
  </si>
  <si>
    <t>Dunajska Streda, Tesco</t>
  </si>
  <si>
    <t>Bratislava, Tesco</t>
  </si>
  <si>
    <t>Trebisov, Kaufland</t>
  </si>
  <si>
    <t>Vranov nad Toplou, Kaufland</t>
  </si>
  <si>
    <t>635</t>
  </si>
  <si>
    <t>Bratislava, Danubia</t>
  </si>
  <si>
    <t>194</t>
  </si>
  <si>
    <t>RR10_Mario Mantuano</t>
  </si>
  <si>
    <t>Billa, Handlova</t>
  </si>
  <si>
    <t>Ziar n.H., TESCO</t>
  </si>
  <si>
    <t>Lipt. Mikulas</t>
  </si>
  <si>
    <t>Nove Zamky, OC Aquario</t>
  </si>
  <si>
    <t>293</t>
  </si>
  <si>
    <t>Banska Bystrica, Tesco</t>
  </si>
  <si>
    <t>216</t>
  </si>
  <si>
    <t>TESCO Bratislava, Dubravka</t>
  </si>
  <si>
    <t>301</t>
  </si>
  <si>
    <t>161</t>
  </si>
  <si>
    <t>Bratislava, OC Dubrawa</t>
  </si>
  <si>
    <t>469</t>
  </si>
  <si>
    <t>Trencin, OC Juzanka</t>
  </si>
  <si>
    <t>294</t>
  </si>
  <si>
    <t>Zvolen, Tesco</t>
  </si>
  <si>
    <t>Nove Zamky, CBA</t>
  </si>
  <si>
    <t>Poprad, OC MAX</t>
  </si>
  <si>
    <t>93</t>
  </si>
  <si>
    <t>Brezno, Kaufland</t>
  </si>
  <si>
    <t>319</t>
  </si>
  <si>
    <t>Modra</t>
  </si>
  <si>
    <t>295</t>
  </si>
  <si>
    <t>Trencin, Tesco</t>
  </si>
  <si>
    <t>Kezmarok, TESCO</t>
  </si>
  <si>
    <t>175</t>
  </si>
  <si>
    <t>Kaufland Prievidza</t>
  </si>
  <si>
    <t>91</t>
  </si>
  <si>
    <t>Rimavska Sobota, TESCO</t>
  </si>
  <si>
    <t>Nove Zamky, Kaufland</t>
  </si>
  <si>
    <t>Cadca, TESCO</t>
  </si>
  <si>
    <t>Kosice, Billa</t>
  </si>
  <si>
    <t>Dubnica nV, TESCO</t>
  </si>
  <si>
    <t>94</t>
  </si>
  <si>
    <t>Lucenec, Kaufland</t>
  </si>
  <si>
    <t>626</t>
  </si>
  <si>
    <t>Skalica, TESCO</t>
  </si>
  <si>
    <t>609</t>
  </si>
  <si>
    <t>Kosice, Optima</t>
  </si>
  <si>
    <t>85</t>
  </si>
  <si>
    <t>Sturovo, OC Aquario</t>
  </si>
  <si>
    <t>143</t>
  </si>
  <si>
    <t>Sabinov, Kaufland Bernolakova</t>
  </si>
  <si>
    <t>129</t>
  </si>
  <si>
    <t>E - poliklinika</t>
  </si>
  <si>
    <t>Ban. Bystrica, ProCare</t>
  </si>
  <si>
    <t>502</t>
  </si>
  <si>
    <t>Pov. Bystrica, poliklinika 1</t>
  </si>
  <si>
    <t>240</t>
  </si>
  <si>
    <t>Topolcany , Nemocnica</t>
  </si>
  <si>
    <t>248</t>
  </si>
  <si>
    <t>Bratislava</t>
  </si>
  <si>
    <t>Rimavska Sobota, NsP</t>
  </si>
  <si>
    <t>639</t>
  </si>
  <si>
    <t>Galanta</t>
  </si>
  <si>
    <t>649</t>
  </si>
  <si>
    <t>Sala</t>
  </si>
  <si>
    <t>501</t>
  </si>
  <si>
    <t>Nove Mesto nV, nemocnica</t>
  </si>
  <si>
    <t>221</t>
  </si>
  <si>
    <t xml:space="preserve">Poliklinika sv.Lukasa, Galanta </t>
  </si>
  <si>
    <t>Ziar n.H., NsP 2</t>
  </si>
  <si>
    <t>220</t>
  </si>
  <si>
    <t>Mytna,Bratislava</t>
  </si>
  <si>
    <t>144</t>
  </si>
  <si>
    <t>Nemocnica Dunajska Streda</t>
  </si>
  <si>
    <t>605</t>
  </si>
  <si>
    <t>Bratislava, Sustekova</t>
  </si>
  <si>
    <t>505</t>
  </si>
  <si>
    <t>Stara Tura, poliklinika</t>
  </si>
  <si>
    <t>89</t>
  </si>
  <si>
    <t>Kosice, zel.nemocnica</t>
  </si>
  <si>
    <t>470</t>
  </si>
  <si>
    <t>Velky Krtis, poliklinika</t>
  </si>
  <si>
    <t>518</t>
  </si>
  <si>
    <t>Dolny Kubin</t>
  </si>
  <si>
    <t>504</t>
  </si>
  <si>
    <t>Trencin, Spitalska</t>
  </si>
  <si>
    <t>Sered, ProCare</t>
  </si>
  <si>
    <t>78</t>
  </si>
  <si>
    <t>Trencin, poliklinika</t>
  </si>
  <si>
    <t>262</t>
  </si>
  <si>
    <t>Michalovce</t>
  </si>
  <si>
    <t>98</t>
  </si>
  <si>
    <t>Spis.N.Ves, poliklinika</t>
  </si>
  <si>
    <t>164</t>
  </si>
  <si>
    <t>Presov, Sekcov</t>
  </si>
  <si>
    <t>515</t>
  </si>
  <si>
    <t>Nitra, Viola</t>
  </si>
  <si>
    <t>136</t>
  </si>
  <si>
    <t>Roznava, nemocnica</t>
  </si>
  <si>
    <t>104</t>
  </si>
  <si>
    <t>Kralovsky Chlmec</t>
  </si>
  <si>
    <t>516</t>
  </si>
  <si>
    <t>Liptovsky Hradok</t>
  </si>
  <si>
    <t>Cierna n.T., poliklinika</t>
  </si>
  <si>
    <t>236</t>
  </si>
  <si>
    <t>Kosice, Cottbuska</t>
  </si>
  <si>
    <t>Humenne, NsP</t>
  </si>
  <si>
    <t>102</t>
  </si>
  <si>
    <t>Trebisov, M.R.Stefanika</t>
  </si>
  <si>
    <t>Vranov n.T., NsP</t>
  </si>
  <si>
    <t>97</t>
  </si>
  <si>
    <t>Trebisov, Nemocnica s pol.</t>
  </si>
  <si>
    <t>462</t>
  </si>
  <si>
    <t>Bytca, poliklinika</t>
  </si>
  <si>
    <t>629</t>
  </si>
  <si>
    <t>Nova Dubnica., Na Mikl.</t>
  </si>
  <si>
    <t>Gelnica, NsP</t>
  </si>
  <si>
    <t>209</t>
  </si>
  <si>
    <t xml:space="preserve">Partizanske </t>
  </si>
  <si>
    <t>105</t>
  </si>
  <si>
    <t>Kosice, Tomasikova</t>
  </si>
  <si>
    <t>312</t>
  </si>
  <si>
    <t>Bratislava, Betliarska</t>
  </si>
  <si>
    <t>88</t>
  </si>
  <si>
    <t>Zvolen, poliklinika</t>
  </si>
  <si>
    <t>611</t>
  </si>
  <si>
    <t>Krompachy</t>
  </si>
  <si>
    <t>614</t>
  </si>
  <si>
    <t>Ban. Bystrica, Simba</t>
  </si>
  <si>
    <t>313</t>
  </si>
  <si>
    <t>Kosice, KVP</t>
  </si>
  <si>
    <t>246</t>
  </si>
  <si>
    <t>Bratislava - Tehelna</t>
  </si>
  <si>
    <t>336</t>
  </si>
  <si>
    <t>Turcianske Teplice</t>
  </si>
  <si>
    <t>466</t>
  </si>
  <si>
    <t>Dubnica nV, poliklinika</t>
  </si>
  <si>
    <t>Hnusta, poliklinika</t>
  </si>
  <si>
    <t>Senec</t>
  </si>
  <si>
    <t>182</t>
  </si>
  <si>
    <t>Michalovce, modular</t>
  </si>
  <si>
    <t>457</t>
  </si>
  <si>
    <t>Tornala, poliklinika</t>
  </si>
  <si>
    <t>610</t>
  </si>
  <si>
    <t>Martin, pred nem.</t>
  </si>
  <si>
    <t>103</t>
  </si>
  <si>
    <t>Trebisov, SNP</t>
  </si>
  <si>
    <t>79</t>
  </si>
  <si>
    <t>Kremnica, poliklinika</t>
  </si>
  <si>
    <t>210</t>
  </si>
  <si>
    <t xml:space="preserve">Ruzomberok </t>
  </si>
  <si>
    <t>239</t>
  </si>
  <si>
    <t>Bratislava, Tematinska 5/A</t>
  </si>
  <si>
    <t>621</t>
  </si>
  <si>
    <t>Ban. Stiavnica (DZ)</t>
  </si>
  <si>
    <t>427</t>
  </si>
  <si>
    <t>Holic</t>
  </si>
  <si>
    <t>138</t>
  </si>
  <si>
    <t>Hlohovec, nemocnica</t>
  </si>
  <si>
    <t>305</t>
  </si>
  <si>
    <t>C - street +</t>
  </si>
  <si>
    <t>Lucenec</t>
  </si>
  <si>
    <t>453</t>
  </si>
  <si>
    <t>Nove Mesto nV, Laurus</t>
  </si>
  <si>
    <t>112</t>
  </si>
  <si>
    <t>Lipt. Mikulas, Nam. osloboditelov</t>
  </si>
  <si>
    <t>249</t>
  </si>
  <si>
    <t>Bratislava-Stare Mesto</t>
  </si>
  <si>
    <t>Topolcany, 17.novembra</t>
  </si>
  <si>
    <t>183</t>
  </si>
  <si>
    <t>Nitra</t>
  </si>
  <si>
    <t>464</t>
  </si>
  <si>
    <t>Zilina, Magnolia</t>
  </si>
  <si>
    <t>272</t>
  </si>
  <si>
    <t>Dunajska Streda</t>
  </si>
  <si>
    <t>620</t>
  </si>
  <si>
    <t>Nove Zamky (DZ)</t>
  </si>
  <si>
    <t>474</t>
  </si>
  <si>
    <t>Martin, Imelo</t>
  </si>
  <si>
    <t>126</t>
  </si>
  <si>
    <t>Sala, Hlavna</t>
  </si>
  <si>
    <t>258</t>
  </si>
  <si>
    <t xml:space="preserve">Bytca </t>
  </si>
  <si>
    <t>467</t>
  </si>
  <si>
    <t>Banovce nad Bebravou</t>
  </si>
  <si>
    <t>664</t>
  </si>
  <si>
    <t>Trstena</t>
  </si>
  <si>
    <t>Partizanske, Prior</t>
  </si>
  <si>
    <t>634</t>
  </si>
  <si>
    <t>Kezmarok, Severka</t>
  </si>
  <si>
    <t>Turzovka, mesto</t>
  </si>
  <si>
    <t>131</t>
  </si>
  <si>
    <t>Revuca, M.R.Stefanika</t>
  </si>
  <si>
    <t>275</t>
  </si>
  <si>
    <t>Ruzomberok</t>
  </si>
  <si>
    <t>263</t>
  </si>
  <si>
    <t xml:space="preserve">Dunajska Streda </t>
  </si>
  <si>
    <t>459</t>
  </si>
  <si>
    <t>Ban. Bystrica, Biopharma</t>
  </si>
  <si>
    <t>273</t>
  </si>
  <si>
    <t>565</t>
  </si>
  <si>
    <t>Stara Tura, Pri Trznici</t>
  </si>
  <si>
    <t>340</t>
  </si>
  <si>
    <t>Moldava nad Bodvou</t>
  </si>
  <si>
    <t>217</t>
  </si>
  <si>
    <t>Dobsina</t>
  </si>
  <si>
    <t>241</t>
  </si>
  <si>
    <t>Sastin-Straze</t>
  </si>
  <si>
    <t>224</t>
  </si>
  <si>
    <t>Presov</t>
  </si>
  <si>
    <t>633</t>
  </si>
  <si>
    <t>Sered (DZ)</t>
  </si>
  <si>
    <t>553</t>
  </si>
  <si>
    <t>Ban. Stiavnica</t>
  </si>
  <si>
    <t>Kosice, Sturova</t>
  </si>
  <si>
    <t>552</t>
  </si>
  <si>
    <t>267</t>
  </si>
  <si>
    <t>Levoca</t>
  </si>
  <si>
    <t>661</t>
  </si>
  <si>
    <t>Kosice</t>
  </si>
  <si>
    <t>Piestany, centrum</t>
  </si>
  <si>
    <t>603</t>
  </si>
  <si>
    <t>Bratislava, Heydukova</t>
  </si>
  <si>
    <t>608</t>
  </si>
  <si>
    <t>Poprad, Maj</t>
  </si>
  <si>
    <t>181</t>
  </si>
  <si>
    <t>Detva</t>
  </si>
  <si>
    <t>524</t>
  </si>
  <si>
    <t>Nove Mesto nV, Nika</t>
  </si>
  <si>
    <t>317</t>
  </si>
  <si>
    <t xml:space="preserve">Malacky  </t>
  </si>
  <si>
    <t>332</t>
  </si>
  <si>
    <t>Martin</t>
  </si>
  <si>
    <t>619</t>
  </si>
  <si>
    <t>Snina (DZ)</t>
  </si>
  <si>
    <t>555</t>
  </si>
  <si>
    <t>Prievidza</t>
  </si>
  <si>
    <t>201</t>
  </si>
  <si>
    <t>Turany</t>
  </si>
  <si>
    <t>252</t>
  </si>
  <si>
    <t>316</t>
  </si>
  <si>
    <t>Namestovo</t>
  </si>
  <si>
    <t>613</t>
  </si>
  <si>
    <t>Spis.N.Ves, Hornad</t>
  </si>
  <si>
    <t>506</t>
  </si>
  <si>
    <t>Myjava, Staromyjavska</t>
  </si>
  <si>
    <t>Presov, 17.novembra</t>
  </si>
  <si>
    <t>106</t>
  </si>
  <si>
    <t>Bardejov, pri nemocnici</t>
  </si>
  <si>
    <t>271</t>
  </si>
  <si>
    <t>Zilina</t>
  </si>
  <si>
    <t>320</t>
  </si>
  <si>
    <t>109</t>
  </si>
  <si>
    <t>Zilina, R. Zaymusa</t>
  </si>
  <si>
    <t>471</t>
  </si>
  <si>
    <t>Snina</t>
  </si>
  <si>
    <t>274</t>
  </si>
  <si>
    <t>238</t>
  </si>
  <si>
    <t>Kosice, Mlynska</t>
  </si>
  <si>
    <t>261</t>
  </si>
  <si>
    <t>465</t>
  </si>
  <si>
    <t>Topolcany, Jednota</t>
  </si>
  <si>
    <t>Kosice, Merkur</t>
  </si>
  <si>
    <t>203</t>
  </si>
  <si>
    <t>Bardejov, Stanica</t>
  </si>
  <si>
    <t>280</t>
  </si>
  <si>
    <t>Filakovo</t>
  </si>
  <si>
    <t>624</t>
  </si>
  <si>
    <t>D - street</t>
  </si>
  <si>
    <t>Bratislava, Ametyst</t>
  </si>
  <si>
    <t>630</t>
  </si>
  <si>
    <t>Lubica</t>
  </si>
  <si>
    <t>270</t>
  </si>
  <si>
    <t xml:space="preserve">Novaky </t>
  </si>
  <si>
    <t>242</t>
  </si>
  <si>
    <t>132</t>
  </si>
  <si>
    <t>Sahy</t>
  </si>
  <si>
    <t>Bratislava, Obchodna</t>
  </si>
  <si>
    <t>461</t>
  </si>
  <si>
    <t>Topolcany, Na Korze</t>
  </si>
  <si>
    <t>198</t>
  </si>
  <si>
    <t>Bratislava, podchod Trnavske myto</t>
  </si>
  <si>
    <t>127</t>
  </si>
  <si>
    <t>Zilina, Narodna</t>
  </si>
  <si>
    <t>Vranov n.T., centrum</t>
  </si>
  <si>
    <t>562</t>
  </si>
  <si>
    <t>Nitra, Pri Nemocnici</t>
  </si>
  <si>
    <t>96</t>
  </si>
  <si>
    <t>Nova Bana</t>
  </si>
  <si>
    <t>218</t>
  </si>
  <si>
    <t>Vrutky</t>
  </si>
  <si>
    <t>111</t>
  </si>
  <si>
    <t>Levice, Na Baste</t>
  </si>
  <si>
    <t>281</t>
  </si>
  <si>
    <t>Kanianka</t>
  </si>
  <si>
    <t>135</t>
  </si>
  <si>
    <t>331</t>
  </si>
  <si>
    <t>Hanusovce nad Toplou</t>
  </si>
  <si>
    <t>558</t>
  </si>
  <si>
    <t>Kolarovo</t>
  </si>
  <si>
    <t>551</t>
  </si>
  <si>
    <t>Kosice, autobus.stanica</t>
  </si>
  <si>
    <t>Lucenec, Prior</t>
  </si>
  <si>
    <t>Stara Lubovna, CBA</t>
  </si>
  <si>
    <t>511</t>
  </si>
  <si>
    <t>Stara Tura, Na Stanici</t>
  </si>
  <si>
    <t>113</t>
  </si>
  <si>
    <t>Puchov</t>
  </si>
  <si>
    <t>612</t>
  </si>
  <si>
    <t>Galanta, centrum</t>
  </si>
  <si>
    <t>Roznava, CBA</t>
  </si>
  <si>
    <t>615</t>
  </si>
  <si>
    <t>Samorin, Centro</t>
  </si>
  <si>
    <t>554</t>
  </si>
  <si>
    <t>Secovce</t>
  </si>
  <si>
    <t>311</t>
  </si>
  <si>
    <t>Kuty</t>
  </si>
  <si>
    <t>285</t>
  </si>
  <si>
    <t>265</t>
  </si>
  <si>
    <t>Stary Smokovec, Vysoke Tatry</t>
  </si>
  <si>
    <t>264</t>
  </si>
  <si>
    <t>663</t>
  </si>
  <si>
    <t>Likavka</t>
  </si>
  <si>
    <t>338</t>
  </si>
  <si>
    <t>Velky Meder</t>
  </si>
  <si>
    <t>Lubochna</t>
  </si>
  <si>
    <t>282</t>
  </si>
  <si>
    <t>Velke Kapusany</t>
  </si>
  <si>
    <t>Ban. Bystrica, centrum</t>
  </si>
  <si>
    <t>159</t>
  </si>
  <si>
    <t>Bratislava, Hl. stanica</t>
  </si>
  <si>
    <t>134</t>
  </si>
  <si>
    <t>Poprad, Francisciho</t>
  </si>
  <si>
    <t>333</t>
  </si>
  <si>
    <t xml:space="preserve">Krupina </t>
  </si>
  <si>
    <t>101</t>
  </si>
  <si>
    <t>Poprad, nam. sv. Egidia</t>
  </si>
  <si>
    <t>100</t>
  </si>
  <si>
    <t>Sabinov, Nam. Slobody</t>
  </si>
  <si>
    <t>D - street nad €0.3 mil ročne</t>
  </si>
  <si>
    <t>C - street + nad €0.5 mil. ročne</t>
  </si>
  <si>
    <t>E - poliklinické  nad €0.75 mil. ročne</t>
  </si>
  <si>
    <t>A - shopping premium &amp; B - shopping nad €0.8 mil. ročne</t>
  </si>
  <si>
    <t>ZF</t>
  </si>
  <si>
    <t>F</t>
  </si>
  <si>
    <t>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</si>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</sst>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0"/>
    <numFmt numFmtId="173" formatCode="0.0"/>
  </numFmts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right"/>
    </xf>
    <xf numFmtId="0" fontId="2" fillId="0" borderId="0" xfId="0" applyFont="1"/>
    <xf numFmtId="3" fontId="0" fillId="0" borderId="0" xfId="0" applyNumberFormat="1" applyAlignment="1">
      <alignment horizontal="right"/>
    </xf>
    <xf numFmtId="165" fontId="3" fillId="0" borderId="0" xfId="0" applyNumberFormat="1" applyFont="1"/>
    <xf numFmtId="173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latin typeface="PT Serif" panose="020A0603040505020204" pitchFamily="18" charset="77"/>
              </a:rPr>
              <a:t>ZF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Sheet2!$A$48:$A$66</c:f>
              <c:strCache>
                <c:ptCount val="19"/>
                <c:pt idx="0">
                  <c:v>616</c:v>
                </c:pt>
                <c:pt idx="1">
                  <c:v>64</c:v>
                </c:pt>
                <c:pt idx="2">
                  <c:v>12</c:v>
                </c:pt>
                <c:pt idx="3">
                  <c:v>15</c:v>
                </c:pt>
                <c:pt idx="4">
                  <c:v>617</c:v>
                </c:pt>
                <c:pt idx="5">
                  <c:v>297</c:v>
                </c:pt>
                <c:pt idx="6">
                  <c:v>292</c:v>
                </c:pt>
                <c:pt idx="7">
                  <c:v>163</c:v>
                </c:pt>
                <c:pt idx="8">
                  <c:v>251</c:v>
                </c:pt>
                <c:pt idx="9">
                  <c:v>307</c:v>
                </c:pt>
                <c:pt idx="10">
                  <c:v>308</c:v>
                </c:pt>
                <c:pt idx="11">
                  <c:v>212</c:v>
                </c:pt>
                <c:pt idx="12">
                  <c:v>141</c:v>
                </c:pt>
                <c:pt idx="13">
                  <c:v>291</c:v>
                </c:pt>
                <c:pt idx="14">
                  <c:v>627</c:v>
                </c:pt>
                <c:pt idx="15">
                  <c:v>299</c:v>
                </c:pt>
                <c:pt idx="16">
                  <c:v>76</c:v>
                </c:pt>
                <c:pt idx="17">
                  <c:v>295</c:v>
                </c:pt>
                <c:pt idx="18">
                  <c:v>301</c:v>
                </c:pt>
              </c:strCache>
            </c:strRef>
          </c:cat>
          <c:val>
            <c:numRef>
              <c:f>Sheet2!$M$48:$M$66</c:f>
              <c:numCache>
                <c:formatCode>0.0</c:formatCode>
                <c:ptCount val="19"/>
                <c:pt idx="0">
                  <c:v>0.68</c:v>
                </c:pt>
                <c:pt idx="1">
                  <c:v>0.12</c:v>
                </c:pt>
                <c:pt idx="2">
                  <c:v>0.85</c:v>
                </c:pt>
                <c:pt idx="3">
                  <c:v>0.65</c:v>
                </c:pt>
                <c:pt idx="4">
                  <c:v>0.85</c:v>
                </c:pt>
                <c:pt idx="5">
                  <c:v>0.87</c:v>
                </c:pt>
                <c:pt idx="6">
                  <c:v>0.84</c:v>
                </c:pt>
                <c:pt idx="7">
                  <c:v>0.89</c:v>
                </c:pt>
                <c:pt idx="8">
                  <c:v>0.96</c:v>
                </c:pt>
                <c:pt idx="9">
                  <c:v>0.86</c:v>
                </c:pt>
                <c:pt idx="10">
                  <c:v>0.75</c:v>
                </c:pt>
                <c:pt idx="11">
                  <c:v>0.11</c:v>
                </c:pt>
                <c:pt idx="12">
                  <c:v>0.81</c:v>
                </c:pt>
                <c:pt idx="13">
                  <c:v>0.84</c:v>
                </c:pt>
                <c:pt idx="14">
                  <c:v>0.83</c:v>
                </c:pt>
                <c:pt idx="15">
                  <c:v>0.79</c:v>
                </c:pt>
                <c:pt idx="16">
                  <c:v>0.88</c:v>
                </c:pt>
                <c:pt idx="17">
                  <c:v>0.85</c:v>
                </c:pt>
                <c:pt idx="18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2-F94B-ABB0-9724264D1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323791"/>
        <c:axId val="774325439"/>
      </c:barChart>
      <c:catAx>
        <c:axId val="77432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T Serif" panose="020A0603040505020204" pitchFamily="18" charset="77"/>
                <a:ea typeface="+mn-ea"/>
                <a:cs typeface="+mn-cs"/>
              </a:defRPr>
            </a:pPr>
            <a:endParaRPr lang="en-SK"/>
          </a:p>
        </c:txPr>
        <c:crossAx val="774325439"/>
        <c:crosses val="autoZero"/>
        <c:auto val="1"/>
        <c:lblAlgn val="ctr"/>
        <c:lblOffset val="100"/>
        <c:noMultiLvlLbl val="0"/>
      </c:catAx>
      <c:valAx>
        <c:axId val="774325439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T Serif" panose="020A0603040505020204" pitchFamily="18" charset="77"/>
                <a:ea typeface="+mn-ea"/>
                <a:cs typeface="+mn-cs"/>
              </a:defRPr>
            </a:pPr>
            <a:endParaRPr lang="en-SK"/>
          </a:p>
        </c:txPr>
        <c:crossAx val="77432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latin typeface="PT Serif" panose="020A0603040505020204" pitchFamily="18" charset="77"/>
              </a:rPr>
              <a:t>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Sheet2!$A$48:$A$66</c:f>
              <c:strCache>
                <c:ptCount val="19"/>
                <c:pt idx="0">
                  <c:v>616</c:v>
                </c:pt>
                <c:pt idx="1">
                  <c:v>64</c:v>
                </c:pt>
                <c:pt idx="2">
                  <c:v>12</c:v>
                </c:pt>
                <c:pt idx="3">
                  <c:v>15</c:v>
                </c:pt>
                <c:pt idx="4">
                  <c:v>617</c:v>
                </c:pt>
                <c:pt idx="5">
                  <c:v>297</c:v>
                </c:pt>
                <c:pt idx="6">
                  <c:v>292</c:v>
                </c:pt>
                <c:pt idx="7">
                  <c:v>163</c:v>
                </c:pt>
                <c:pt idx="8">
                  <c:v>251</c:v>
                </c:pt>
                <c:pt idx="9">
                  <c:v>307</c:v>
                </c:pt>
                <c:pt idx="10">
                  <c:v>308</c:v>
                </c:pt>
                <c:pt idx="11">
                  <c:v>212</c:v>
                </c:pt>
                <c:pt idx="12">
                  <c:v>141</c:v>
                </c:pt>
                <c:pt idx="13">
                  <c:v>291</c:v>
                </c:pt>
                <c:pt idx="14">
                  <c:v>627</c:v>
                </c:pt>
                <c:pt idx="15">
                  <c:v>299</c:v>
                </c:pt>
                <c:pt idx="16">
                  <c:v>76</c:v>
                </c:pt>
                <c:pt idx="17">
                  <c:v>295</c:v>
                </c:pt>
                <c:pt idx="18">
                  <c:v>301</c:v>
                </c:pt>
              </c:strCache>
            </c:strRef>
          </c:cat>
          <c:val>
            <c:numRef>
              <c:f>Sheet2!$N$48:$N$66</c:f>
              <c:numCache>
                <c:formatCode>0.0</c:formatCode>
                <c:ptCount val="19"/>
                <c:pt idx="0">
                  <c:v>1.68</c:v>
                </c:pt>
                <c:pt idx="1">
                  <c:v>1.8</c:v>
                </c:pt>
                <c:pt idx="2">
                  <c:v>1.18</c:v>
                </c:pt>
                <c:pt idx="3">
                  <c:v>1.87</c:v>
                </c:pt>
                <c:pt idx="4">
                  <c:v>1.64</c:v>
                </c:pt>
                <c:pt idx="5">
                  <c:v>0.77</c:v>
                </c:pt>
                <c:pt idx="6">
                  <c:v>1.97</c:v>
                </c:pt>
                <c:pt idx="7">
                  <c:v>1.6</c:v>
                </c:pt>
                <c:pt idx="8">
                  <c:v>1.06</c:v>
                </c:pt>
                <c:pt idx="9">
                  <c:v>1.65</c:v>
                </c:pt>
                <c:pt idx="10">
                  <c:v>1.89</c:v>
                </c:pt>
                <c:pt idx="11">
                  <c:v>1.91</c:v>
                </c:pt>
                <c:pt idx="12">
                  <c:v>1.78</c:v>
                </c:pt>
                <c:pt idx="13">
                  <c:v>1.87</c:v>
                </c:pt>
                <c:pt idx="14">
                  <c:v>0.9</c:v>
                </c:pt>
                <c:pt idx="15">
                  <c:v>1.52</c:v>
                </c:pt>
                <c:pt idx="16">
                  <c:v>1.9</c:v>
                </c:pt>
                <c:pt idx="17">
                  <c:v>1.77</c:v>
                </c:pt>
                <c:pt idx="18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2-0846-9E76-DD49A0067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323791"/>
        <c:axId val="774325439"/>
      </c:barChart>
      <c:catAx>
        <c:axId val="77432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T Serif" panose="020A0603040505020204" pitchFamily="18" charset="77"/>
                <a:ea typeface="+mn-ea"/>
                <a:cs typeface="+mn-cs"/>
              </a:defRPr>
            </a:pPr>
            <a:endParaRPr lang="en-SK"/>
          </a:p>
        </c:txPr>
        <c:crossAx val="774325439"/>
        <c:crosses val="autoZero"/>
        <c:auto val="1"/>
        <c:lblAlgn val="ctr"/>
        <c:lblOffset val="100"/>
        <c:noMultiLvlLbl val="0"/>
      </c:catAx>
      <c:valAx>
        <c:axId val="774325439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T Serif" panose="020A0603040505020204" pitchFamily="18" charset="77"/>
                <a:ea typeface="+mn-ea"/>
                <a:cs typeface="+mn-cs"/>
              </a:defRPr>
            </a:pPr>
            <a:endParaRPr lang="en-SK"/>
          </a:p>
        </c:txPr>
        <c:crossAx val="77432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latin typeface="PT Serif" panose="020A0603040505020204" pitchFamily="18" charset="77"/>
              </a:rPr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Sheet2!$A$48:$A$66</c:f>
              <c:strCache>
                <c:ptCount val="19"/>
                <c:pt idx="0">
                  <c:v>616</c:v>
                </c:pt>
                <c:pt idx="1">
                  <c:v>64</c:v>
                </c:pt>
                <c:pt idx="2">
                  <c:v>12</c:v>
                </c:pt>
                <c:pt idx="3">
                  <c:v>15</c:v>
                </c:pt>
                <c:pt idx="4">
                  <c:v>617</c:v>
                </c:pt>
                <c:pt idx="5">
                  <c:v>297</c:v>
                </c:pt>
                <c:pt idx="6">
                  <c:v>292</c:v>
                </c:pt>
                <c:pt idx="7">
                  <c:v>163</c:v>
                </c:pt>
                <c:pt idx="8">
                  <c:v>251</c:v>
                </c:pt>
                <c:pt idx="9">
                  <c:v>307</c:v>
                </c:pt>
                <c:pt idx="10">
                  <c:v>308</c:v>
                </c:pt>
                <c:pt idx="11">
                  <c:v>212</c:v>
                </c:pt>
                <c:pt idx="12">
                  <c:v>141</c:v>
                </c:pt>
                <c:pt idx="13">
                  <c:v>291</c:v>
                </c:pt>
                <c:pt idx="14">
                  <c:v>627</c:v>
                </c:pt>
                <c:pt idx="15">
                  <c:v>299</c:v>
                </c:pt>
                <c:pt idx="16">
                  <c:v>76</c:v>
                </c:pt>
                <c:pt idx="17">
                  <c:v>295</c:v>
                </c:pt>
                <c:pt idx="18">
                  <c:v>301</c:v>
                </c:pt>
              </c:strCache>
            </c:strRef>
          </c:cat>
          <c:val>
            <c:numRef>
              <c:f>Sheet2!$O$48:$O$66</c:f>
              <c:numCache>
                <c:formatCode>0.0</c:formatCode>
                <c:ptCount val="19"/>
                <c:pt idx="0">
                  <c:v>2.0099999999999998</c:v>
                </c:pt>
                <c:pt idx="1">
                  <c:v>1.69</c:v>
                </c:pt>
                <c:pt idx="2">
                  <c:v>2.58</c:v>
                </c:pt>
                <c:pt idx="3">
                  <c:v>1.78</c:v>
                </c:pt>
                <c:pt idx="4">
                  <c:v>2.42</c:v>
                </c:pt>
                <c:pt idx="5">
                  <c:v>2.54</c:v>
                </c:pt>
                <c:pt idx="6">
                  <c:v>1.7</c:v>
                </c:pt>
                <c:pt idx="7">
                  <c:v>2.46</c:v>
                </c:pt>
                <c:pt idx="8">
                  <c:v>1.53</c:v>
                </c:pt>
                <c:pt idx="9">
                  <c:v>2.59</c:v>
                </c:pt>
                <c:pt idx="10">
                  <c:v>1.63</c:v>
                </c:pt>
                <c:pt idx="11">
                  <c:v>1.6</c:v>
                </c:pt>
                <c:pt idx="12">
                  <c:v>2.52</c:v>
                </c:pt>
                <c:pt idx="13">
                  <c:v>1.93</c:v>
                </c:pt>
                <c:pt idx="14">
                  <c:v>2.29</c:v>
                </c:pt>
                <c:pt idx="15">
                  <c:v>2.2000000000000002</c:v>
                </c:pt>
                <c:pt idx="16">
                  <c:v>1.74</c:v>
                </c:pt>
                <c:pt idx="17">
                  <c:v>1.76</c:v>
                </c:pt>
                <c:pt idx="18">
                  <c:v>2.92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B-E74F-9C17-440A1B23E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323791"/>
        <c:axId val="774325439"/>
      </c:barChart>
      <c:catAx>
        <c:axId val="77432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T Serif" panose="020A0603040505020204" pitchFamily="18" charset="77"/>
                <a:ea typeface="+mn-ea"/>
                <a:cs typeface="+mn-cs"/>
              </a:defRPr>
            </a:pPr>
            <a:endParaRPr lang="en-SK"/>
          </a:p>
        </c:txPr>
        <c:crossAx val="774325439"/>
        <c:crosses val="autoZero"/>
        <c:auto val="1"/>
        <c:lblAlgn val="ctr"/>
        <c:lblOffset val="100"/>
        <c:noMultiLvlLbl val="0"/>
      </c:catAx>
      <c:valAx>
        <c:axId val="774325439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T Serif" panose="020A0603040505020204" pitchFamily="18" charset="77"/>
                <a:ea typeface="+mn-ea"/>
                <a:cs typeface="+mn-cs"/>
              </a:defRPr>
            </a:pPr>
            <a:endParaRPr lang="en-SK"/>
          </a:p>
        </c:txPr>
        <c:crossAx val="77432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47</xdr:row>
      <xdr:rowOff>25400</xdr:rowOff>
    </xdr:from>
    <xdr:to>
      <xdr:col>24</xdr:col>
      <xdr:colOff>0</xdr:colOff>
      <xdr:row>61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E4E2A-17B3-0C4A-B9C1-2730C7A12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27</xdr:row>
      <xdr:rowOff>0</xdr:rowOff>
    </xdr:from>
    <xdr:to>
      <xdr:col>32</xdr:col>
      <xdr:colOff>0</xdr:colOff>
      <xdr:row>60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8B0FE8-9E51-CB4D-97FF-828B7DD75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27</xdr:row>
      <xdr:rowOff>0</xdr:rowOff>
    </xdr:from>
    <xdr:to>
      <xdr:col>40</xdr:col>
      <xdr:colOff>0</xdr:colOff>
      <xdr:row>60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B07E19-3F61-BB4C-AC8D-3964D1847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6"/>
  <sheetViews>
    <sheetView showGridLines="0" workbookViewId="0">
      <pane ySplit="1" topLeftCell="A2" activePane="bottomLeft" state="frozen"/>
      <selection pane="bottomLeft" activeCell="M13" sqref="M13"/>
    </sheetView>
  </sheetViews>
  <sheetFormatPr baseColWidth="10" defaultColWidth="8.83203125" defaultRowHeight="15" x14ac:dyDescent="0.2"/>
  <cols>
    <col min="1" max="1" width="7.33203125" customWidth="1"/>
    <col min="2" max="2" width="18.5" customWidth="1"/>
    <col min="3" max="3" width="10.1640625" bestFit="1" customWidth="1"/>
    <col min="4" max="4" width="9.1640625" bestFit="1" customWidth="1"/>
    <col min="5" max="5" width="7.5" bestFit="1" customWidth="1"/>
    <col min="6" max="6" width="12.1640625" bestFit="1" customWidth="1"/>
    <col min="7" max="7" width="17.83203125" bestFit="1" customWidth="1"/>
    <col min="8" max="8" width="22.1640625" bestFit="1" customWidth="1"/>
    <col min="9" max="9" width="27.33203125" bestFit="1" customWidth="1"/>
    <col min="10" max="10" width="16.33203125" bestFit="1" customWidth="1"/>
    <col min="11" max="11" width="7" bestFit="1" customWidth="1"/>
    <col min="12" max="12" width="8.5" bestFit="1" customWidth="1"/>
    <col min="13" max="15" width="11.6640625" bestFit="1" customWidth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3" t="s">
        <v>541</v>
      </c>
      <c r="N1" s="3" t="s">
        <v>542</v>
      </c>
      <c r="O1" s="3" t="s">
        <v>543</v>
      </c>
    </row>
    <row r="2" spans="1:15" ht="19" x14ac:dyDescent="0.25">
      <c r="A2" s="4" t="s">
        <v>540</v>
      </c>
    </row>
    <row r="4" spans="1:15" x14ac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t="s">
        <v>6</v>
      </c>
      <c r="H4" t="s">
        <v>7</v>
      </c>
      <c r="I4" t="s">
        <v>8</v>
      </c>
      <c r="J4" s="3" t="s">
        <v>9</v>
      </c>
      <c r="K4" t="s">
        <v>10</v>
      </c>
      <c r="L4" t="s">
        <v>11</v>
      </c>
      <c r="M4" s="3" t="s">
        <v>541</v>
      </c>
      <c r="N4" s="3" t="s">
        <v>542</v>
      </c>
      <c r="O4" s="3" t="s">
        <v>543</v>
      </c>
    </row>
    <row r="5" spans="1:15" ht="16" x14ac:dyDescent="0.2">
      <c r="A5" s="3" t="s">
        <v>70</v>
      </c>
      <c r="B5" s="5">
        <v>2678649.6799999997</v>
      </c>
      <c r="C5" s="1">
        <v>207456.58000000002</v>
      </c>
      <c r="D5" s="1">
        <v>35431.75</v>
      </c>
      <c r="E5" s="1">
        <v>117390</v>
      </c>
      <c r="F5" s="6">
        <v>1.7672423545446803</v>
      </c>
      <c r="G5" t="s">
        <v>116</v>
      </c>
      <c r="H5" t="s">
        <v>118</v>
      </c>
      <c r="I5" t="s">
        <v>133</v>
      </c>
      <c r="J5" s="1">
        <v>22.818380441264161</v>
      </c>
      <c r="K5" s="1">
        <v>77921.99755</v>
      </c>
      <c r="L5" s="2">
        <v>0.37560629578488181</v>
      </c>
      <c r="M5">
        <v>0.77</v>
      </c>
      <c r="N5">
        <v>5.97</v>
      </c>
      <c r="O5">
        <v>4.68</v>
      </c>
    </row>
    <row r="6" spans="1:15" ht="16" x14ac:dyDescent="0.2">
      <c r="A6" s="3" t="s">
        <v>203</v>
      </c>
      <c r="B6" s="1">
        <v>1125165.99</v>
      </c>
      <c r="C6" s="1">
        <v>97754.71</v>
      </c>
      <c r="D6" s="1">
        <v>17315.599999999999</v>
      </c>
      <c r="E6" s="1">
        <v>58552</v>
      </c>
      <c r="F6" s="6">
        <v>1.6695366511818555</v>
      </c>
      <c r="G6" t="s">
        <v>116</v>
      </c>
      <c r="H6" t="s">
        <v>118</v>
      </c>
      <c r="I6" t="s">
        <v>204</v>
      </c>
      <c r="J6" s="1">
        <v>19.216525310834815</v>
      </c>
      <c r="K6" s="1">
        <v>21862.945064</v>
      </c>
      <c r="L6" s="2">
        <v>0.22365106565197726</v>
      </c>
      <c r="M6">
        <v>0.18</v>
      </c>
      <c r="N6">
        <v>2.2200000000000002</v>
      </c>
      <c r="O6">
        <v>2.67</v>
      </c>
    </row>
    <row r="7" spans="1:15" ht="16" x14ac:dyDescent="0.2">
      <c r="A7" s="3" t="s">
        <v>71</v>
      </c>
      <c r="B7" s="1">
        <v>1541020.42</v>
      </c>
      <c r="C7" s="1">
        <v>111405.49</v>
      </c>
      <c r="D7" s="1">
        <v>26430.55</v>
      </c>
      <c r="E7" s="1">
        <v>86619</v>
      </c>
      <c r="F7" s="6">
        <v>1.2861553469793001</v>
      </c>
      <c r="G7" t="s">
        <v>117</v>
      </c>
      <c r="H7" t="s">
        <v>119</v>
      </c>
      <c r="I7" t="s">
        <v>134</v>
      </c>
      <c r="J7" s="1">
        <v>17.790789780533139</v>
      </c>
      <c r="K7" s="1">
        <v>15825.321354999991</v>
      </c>
      <c r="L7" s="2">
        <v>0.14205153942592946</v>
      </c>
      <c r="M7">
        <v>0.12</v>
      </c>
      <c r="N7">
        <v>3.57</v>
      </c>
      <c r="O7">
        <v>2.64</v>
      </c>
    </row>
    <row r="8" spans="1:15" ht="16" x14ac:dyDescent="0.2">
      <c r="A8" s="3" t="s">
        <v>64</v>
      </c>
      <c r="B8" s="1">
        <v>894251.73</v>
      </c>
      <c r="C8" s="1">
        <v>100256.45</v>
      </c>
      <c r="D8" s="1">
        <v>24332.739999999998</v>
      </c>
      <c r="E8" s="1">
        <v>65931</v>
      </c>
      <c r="F8" s="6">
        <v>1.5206268674826713</v>
      </c>
      <c r="G8" t="s">
        <v>117</v>
      </c>
      <c r="H8" t="s">
        <v>123</v>
      </c>
      <c r="I8" t="s">
        <v>208</v>
      </c>
      <c r="J8" s="1">
        <v>13.563448605360149</v>
      </c>
      <c r="K8" s="1">
        <v>14800.445866999997</v>
      </c>
      <c r="L8" s="2">
        <v>0.1476258721209458</v>
      </c>
      <c r="M8">
        <v>0.84</v>
      </c>
      <c r="N8">
        <v>1.04</v>
      </c>
      <c r="O8">
        <v>3.12</v>
      </c>
    </row>
    <row r="9" spans="1:15" ht="16" x14ac:dyDescent="0.2">
      <c r="A9" s="3" t="s">
        <v>72</v>
      </c>
      <c r="B9" s="1">
        <v>1564466</v>
      </c>
      <c r="C9" s="1">
        <v>111133.51</v>
      </c>
      <c r="D9" s="1">
        <v>22885.42</v>
      </c>
      <c r="E9" s="1">
        <v>87463</v>
      </c>
      <c r="F9" s="6">
        <v>1.2706345540399939</v>
      </c>
      <c r="G9" t="s">
        <v>117</v>
      </c>
      <c r="H9" t="s">
        <v>119</v>
      </c>
      <c r="I9" t="s">
        <v>135</v>
      </c>
      <c r="J9" s="1">
        <v>17.887175148348444</v>
      </c>
      <c r="K9" s="1">
        <v>14622.025334999982</v>
      </c>
      <c r="L9" s="2">
        <v>0.1315717044750947</v>
      </c>
      <c r="M9">
        <v>0.87</v>
      </c>
      <c r="N9">
        <v>1.51</v>
      </c>
      <c r="O9">
        <v>2.66</v>
      </c>
    </row>
    <row r="10" spans="1:15" ht="16" x14ac:dyDescent="0.2">
      <c r="A10" s="3" t="s">
        <v>205</v>
      </c>
      <c r="B10" s="1">
        <v>989298.84</v>
      </c>
      <c r="C10" s="1">
        <v>93168.65</v>
      </c>
      <c r="D10" s="1">
        <v>16878.16</v>
      </c>
      <c r="E10" s="1">
        <v>60682</v>
      </c>
      <c r="F10" s="6">
        <v>1.5353589202728979</v>
      </c>
      <c r="G10" t="s">
        <v>117</v>
      </c>
      <c r="H10" t="s">
        <v>206</v>
      </c>
      <c r="I10" t="s">
        <v>207</v>
      </c>
      <c r="J10" s="1">
        <v>16.303003196994165</v>
      </c>
      <c r="K10" s="1">
        <v>14516.100473999986</v>
      </c>
      <c r="L10" s="2">
        <v>0.15580455951653252</v>
      </c>
      <c r="M10">
        <v>0.73</v>
      </c>
      <c r="N10">
        <v>0.75</v>
      </c>
      <c r="O10">
        <v>2.2400000000000002</v>
      </c>
    </row>
    <row r="11" spans="1:15" ht="16" x14ac:dyDescent="0.2">
      <c r="A11" s="3" t="s">
        <v>74</v>
      </c>
      <c r="B11" s="1">
        <v>2524019.61</v>
      </c>
      <c r="C11" s="1">
        <v>177441.52</v>
      </c>
      <c r="D11" s="1">
        <v>44802.770000000004</v>
      </c>
      <c r="E11" s="1">
        <v>147695</v>
      </c>
      <c r="F11" s="6">
        <v>1.2014050577203019</v>
      </c>
      <c r="G11" t="s">
        <v>116</v>
      </c>
      <c r="H11" t="s">
        <v>118</v>
      </c>
      <c r="I11" t="s">
        <v>137</v>
      </c>
      <c r="J11" s="1">
        <v>17.089404583770609</v>
      </c>
      <c r="K11" s="1">
        <v>14466.733774999982</v>
      </c>
      <c r="L11" s="2">
        <v>8.1529586620989178E-2</v>
      </c>
      <c r="M11">
        <v>0.89</v>
      </c>
      <c r="N11">
        <v>2.4500000000000002</v>
      </c>
      <c r="O11">
        <v>6.61</v>
      </c>
    </row>
    <row r="12" spans="1:15" ht="16" x14ac:dyDescent="0.2">
      <c r="A12" s="3" t="s">
        <v>73</v>
      </c>
      <c r="B12" s="1">
        <v>1633547.89</v>
      </c>
      <c r="C12" s="1">
        <v>123018.94</v>
      </c>
      <c r="D12" s="1">
        <v>27722.07</v>
      </c>
      <c r="E12" s="1">
        <v>101486</v>
      </c>
      <c r="F12" s="6">
        <v>1.2121764578365488</v>
      </c>
      <c r="G12" t="s">
        <v>116</v>
      </c>
      <c r="H12" t="s">
        <v>118</v>
      </c>
      <c r="I12" t="s">
        <v>136</v>
      </c>
      <c r="J12" s="1">
        <v>16.09628805943677</v>
      </c>
      <c r="K12" s="1">
        <v>11033.705869999985</v>
      </c>
      <c r="L12" s="2">
        <v>8.9691114799070659E-2</v>
      </c>
      <c r="M12">
        <v>0.06</v>
      </c>
      <c r="N12">
        <v>3.15</v>
      </c>
      <c r="O12">
        <v>3.16</v>
      </c>
    </row>
    <row r="13" spans="1:15" ht="16" x14ac:dyDescent="0.2">
      <c r="A13" s="3" t="s">
        <v>26</v>
      </c>
      <c r="B13" s="1">
        <v>1215616.3500000001</v>
      </c>
      <c r="C13" s="1">
        <v>83986.84</v>
      </c>
      <c r="D13" s="1">
        <v>19198.849999999999</v>
      </c>
      <c r="E13" s="1">
        <v>57875</v>
      </c>
      <c r="F13" s="6">
        <v>1.4511765010799136</v>
      </c>
      <c r="G13" t="s">
        <v>117</v>
      </c>
      <c r="H13" t="s">
        <v>131</v>
      </c>
      <c r="I13" t="s">
        <v>209</v>
      </c>
      <c r="J13" s="1">
        <v>21.00417019438445</v>
      </c>
      <c r="K13" s="1">
        <v>8972.5638749999962</v>
      </c>
      <c r="L13" s="2">
        <v>0.10683297377303393</v>
      </c>
      <c r="M13">
        <v>0.11</v>
      </c>
      <c r="N13">
        <v>2.5</v>
      </c>
      <c r="O13">
        <v>1.53</v>
      </c>
    </row>
    <row r="14" spans="1:15" ht="16" x14ac:dyDescent="0.2">
      <c r="A14" s="3" t="s">
        <v>55</v>
      </c>
      <c r="B14" s="1">
        <v>1442169.48</v>
      </c>
      <c r="C14" s="1">
        <v>100976.03</v>
      </c>
      <c r="D14" s="1">
        <v>29933.65</v>
      </c>
      <c r="E14" s="1">
        <v>84490</v>
      </c>
      <c r="F14" s="6">
        <v>1.1951240383477335</v>
      </c>
      <c r="G14" t="s">
        <v>117</v>
      </c>
      <c r="H14" t="s">
        <v>120</v>
      </c>
      <c r="I14" t="s">
        <v>138</v>
      </c>
      <c r="J14" s="1">
        <v>17.069114451414368</v>
      </c>
      <c r="K14" s="1">
        <v>7745.117049999998</v>
      </c>
      <c r="L14" s="2">
        <v>7.6702530788742618E-2</v>
      </c>
      <c r="M14">
        <v>0.9</v>
      </c>
      <c r="N14">
        <v>2.4300000000000002</v>
      </c>
      <c r="O14">
        <v>1.69</v>
      </c>
    </row>
    <row r="15" spans="1:15" ht="16" x14ac:dyDescent="0.2">
      <c r="A15" s="3" t="s">
        <v>30</v>
      </c>
      <c r="B15" s="1">
        <v>1454841.82</v>
      </c>
      <c r="C15" s="1">
        <v>111250.19</v>
      </c>
      <c r="D15" s="1">
        <v>22304.39</v>
      </c>
      <c r="E15" s="1">
        <v>94020</v>
      </c>
      <c r="F15" s="6">
        <v>1.1832609019357583</v>
      </c>
      <c r="G15" t="s">
        <v>117</v>
      </c>
      <c r="H15" t="s">
        <v>120</v>
      </c>
      <c r="I15" t="s">
        <v>139</v>
      </c>
      <c r="J15" s="1">
        <v>15.473748351414594</v>
      </c>
      <c r="K15" s="1">
        <v>7503.3508999999867</v>
      </c>
      <c r="L15" s="2">
        <v>6.7445735598294143E-2</v>
      </c>
      <c r="M15">
        <v>0.88</v>
      </c>
      <c r="N15">
        <v>1.31</v>
      </c>
      <c r="O15">
        <v>2.63</v>
      </c>
    </row>
    <row r="16" spans="1:15" ht="16" x14ac:dyDescent="0.2">
      <c r="A16" s="3" t="s">
        <v>36</v>
      </c>
      <c r="B16" s="1">
        <v>1839086.11</v>
      </c>
      <c r="C16" s="1">
        <v>127685.81</v>
      </c>
      <c r="D16" s="1">
        <v>28792.1</v>
      </c>
      <c r="E16" s="1">
        <v>109134</v>
      </c>
      <c r="F16" s="6">
        <v>1.1699911118441548</v>
      </c>
      <c r="G16" t="s">
        <v>117</v>
      </c>
      <c r="H16" t="s">
        <v>121</v>
      </c>
      <c r="I16" t="s">
        <v>140</v>
      </c>
      <c r="J16" s="1">
        <v>16.851632946652739</v>
      </c>
      <c r="K16" s="1">
        <v>7261.3520299999855</v>
      </c>
      <c r="L16" s="2">
        <v>5.6868903678490082E-2</v>
      </c>
      <c r="M16">
        <v>0.79</v>
      </c>
      <c r="N16">
        <v>2.61</v>
      </c>
      <c r="O16">
        <v>2.36</v>
      </c>
    </row>
    <row r="17" spans="1:15" ht="16" x14ac:dyDescent="0.2">
      <c r="A17" s="3" t="s">
        <v>32</v>
      </c>
      <c r="B17" s="1">
        <v>946284.79</v>
      </c>
      <c r="C17" s="1">
        <v>91939.89</v>
      </c>
      <c r="D17" s="1">
        <v>18733.77</v>
      </c>
      <c r="E17" s="1">
        <v>65954</v>
      </c>
      <c r="F17" s="6">
        <v>1.3940002122691573</v>
      </c>
      <c r="G17" t="s">
        <v>117</v>
      </c>
      <c r="H17" t="s">
        <v>132</v>
      </c>
      <c r="I17" t="s">
        <v>210</v>
      </c>
      <c r="J17" s="1">
        <v>14.347648209358038</v>
      </c>
      <c r="K17" s="1">
        <v>6454.0745779999952</v>
      </c>
      <c r="L17" s="2">
        <v>7.0198850335800866E-2</v>
      </c>
      <c r="M17">
        <v>0.82</v>
      </c>
      <c r="N17">
        <v>1.48</v>
      </c>
      <c r="O17">
        <v>1.62</v>
      </c>
    </row>
    <row r="18" spans="1:15" ht="16" x14ac:dyDescent="0.2">
      <c r="A18" s="3" t="s">
        <v>38</v>
      </c>
      <c r="B18" s="1">
        <v>2445001.64</v>
      </c>
      <c r="C18" s="1">
        <v>153156.67000000001</v>
      </c>
      <c r="D18" s="1">
        <v>49257.68</v>
      </c>
      <c r="E18" s="1">
        <v>134069</v>
      </c>
      <c r="F18" s="6">
        <v>1.1423719875586453</v>
      </c>
      <c r="G18" t="s">
        <v>117</v>
      </c>
      <c r="H18" t="s">
        <v>123</v>
      </c>
      <c r="I18" t="s">
        <v>143</v>
      </c>
      <c r="J18" s="1">
        <v>18.236890258001477</v>
      </c>
      <c r="K18" s="1">
        <v>5217.5616050000108</v>
      </c>
      <c r="L18" s="2">
        <v>3.4066825852246657E-2</v>
      </c>
      <c r="M18">
        <v>0.9</v>
      </c>
      <c r="N18">
        <v>2.37</v>
      </c>
      <c r="O18">
        <v>3.74</v>
      </c>
    </row>
    <row r="19" spans="1:15" ht="16" x14ac:dyDescent="0.2">
      <c r="A19" s="3" t="s">
        <v>68</v>
      </c>
      <c r="B19" s="1">
        <v>1398074.12</v>
      </c>
      <c r="C19" s="1">
        <v>107677.55</v>
      </c>
      <c r="D19" s="1">
        <v>27000.489999999998</v>
      </c>
      <c r="E19" s="1">
        <v>93110</v>
      </c>
      <c r="F19" s="6">
        <v>1.156455267962625</v>
      </c>
      <c r="G19" t="s">
        <v>117</v>
      </c>
      <c r="H19" t="s">
        <v>121</v>
      </c>
      <c r="I19" t="s">
        <v>142</v>
      </c>
      <c r="J19" s="1">
        <v>15.015295027386962</v>
      </c>
      <c r="K19" s="1">
        <v>4934.8549500000054</v>
      </c>
      <c r="L19" s="2">
        <v>4.582993344480818E-2</v>
      </c>
      <c r="M19">
        <v>0.83</v>
      </c>
      <c r="N19">
        <v>1.66</v>
      </c>
      <c r="O19">
        <v>2.86</v>
      </c>
    </row>
    <row r="20" spans="1:15" ht="16" x14ac:dyDescent="0.2">
      <c r="A20" s="3" t="s">
        <v>48</v>
      </c>
      <c r="B20" s="1">
        <v>1352352.4</v>
      </c>
      <c r="C20" s="1">
        <v>96159.61</v>
      </c>
      <c r="D20" s="1">
        <v>25931.06</v>
      </c>
      <c r="E20" s="1">
        <v>83043</v>
      </c>
      <c r="F20" s="6">
        <v>1.1579496164637597</v>
      </c>
      <c r="G20" t="s">
        <v>117</v>
      </c>
      <c r="H20" t="s">
        <v>122</v>
      </c>
      <c r="I20" t="s">
        <v>141</v>
      </c>
      <c r="J20" s="1">
        <v>16.284965620220849</v>
      </c>
      <c r="K20" s="1">
        <v>4525.3964349999915</v>
      </c>
      <c r="L20" s="2">
        <v>4.706130188131994E-2</v>
      </c>
      <c r="M20" t="s">
        <v>544</v>
      </c>
      <c r="N20">
        <v>1.74</v>
      </c>
      <c r="O20">
        <v>2.5099999999999998</v>
      </c>
    </row>
    <row r="21" spans="1:15" ht="16" x14ac:dyDescent="0.2">
      <c r="A21" s="3" t="s">
        <v>35</v>
      </c>
      <c r="B21" s="1">
        <v>2518066.8199999998</v>
      </c>
      <c r="C21" s="1">
        <v>148477.99</v>
      </c>
      <c r="D21" s="1">
        <v>39421.06</v>
      </c>
      <c r="E21" s="1">
        <v>131028</v>
      </c>
      <c r="F21" s="6">
        <v>1.1331775651005891</v>
      </c>
      <c r="G21" t="s">
        <v>117</v>
      </c>
      <c r="H21" t="s">
        <v>124</v>
      </c>
      <c r="I21" t="s">
        <v>145</v>
      </c>
      <c r="J21" s="1">
        <v>19.217776505785022</v>
      </c>
      <c r="K21" s="1">
        <v>3894.4882599999773</v>
      </c>
      <c r="L21" s="2">
        <v>2.6229397771346297E-2</v>
      </c>
      <c r="M21">
        <v>0.88</v>
      </c>
      <c r="N21">
        <v>2.27</v>
      </c>
      <c r="O21">
        <v>2.61</v>
      </c>
    </row>
    <row r="22" spans="1:15" ht="16" x14ac:dyDescent="0.2">
      <c r="A22" s="3" t="s">
        <v>211</v>
      </c>
      <c r="B22" s="1">
        <v>947508.98</v>
      </c>
      <c r="C22" s="1">
        <v>92207.44</v>
      </c>
      <c r="D22" s="1">
        <v>19082.87</v>
      </c>
      <c r="E22" s="1">
        <v>68140</v>
      </c>
      <c r="F22" s="6">
        <v>1.3532057528617552</v>
      </c>
      <c r="G22" t="s">
        <v>117</v>
      </c>
      <c r="H22" t="s">
        <v>122</v>
      </c>
      <c r="I22" t="s">
        <v>212</v>
      </c>
      <c r="J22" s="1">
        <v>13.905326973877312</v>
      </c>
      <c r="K22" s="1">
        <v>3888.2559799999931</v>
      </c>
      <c r="L22" s="2">
        <v>4.2168570996006322E-2</v>
      </c>
      <c r="M22">
        <v>1</v>
      </c>
      <c r="N22">
        <v>1.04</v>
      </c>
      <c r="O22">
        <v>1.78</v>
      </c>
    </row>
    <row r="23" spans="1:15" ht="16" x14ac:dyDescent="0.2">
      <c r="A23" s="3" t="s">
        <v>75</v>
      </c>
      <c r="B23" s="1">
        <v>1526822.35</v>
      </c>
      <c r="C23" s="1">
        <v>116311.34</v>
      </c>
      <c r="D23" s="1">
        <v>31384</v>
      </c>
      <c r="E23" s="1">
        <v>102594</v>
      </c>
      <c r="F23" s="6">
        <v>1.1337050899662748</v>
      </c>
      <c r="G23" t="s">
        <v>117</v>
      </c>
      <c r="H23" t="s">
        <v>119</v>
      </c>
      <c r="I23" t="s">
        <v>144</v>
      </c>
      <c r="J23" s="1">
        <v>14.882179757100806</v>
      </c>
      <c r="K23" s="1">
        <v>3103.4777299999928</v>
      </c>
      <c r="L23" s="2">
        <v>2.6682503442914448E-2</v>
      </c>
      <c r="M23">
        <v>0.82</v>
      </c>
      <c r="N23">
        <v>1.76</v>
      </c>
      <c r="O23">
        <v>3.06</v>
      </c>
    </row>
    <row r="24" spans="1:15" ht="16" x14ac:dyDescent="0.2">
      <c r="A24" s="3" t="s">
        <v>76</v>
      </c>
      <c r="B24" s="1">
        <v>1300885.8700000001</v>
      </c>
      <c r="C24" s="1">
        <v>104489.46</v>
      </c>
      <c r="D24" s="1">
        <v>28583.350000000002</v>
      </c>
      <c r="E24" s="1">
        <v>92254</v>
      </c>
      <c r="F24" s="6">
        <v>1.1326279619311901</v>
      </c>
      <c r="G24" t="s">
        <v>117</v>
      </c>
      <c r="H24" t="s">
        <v>125</v>
      </c>
      <c r="I24" t="s">
        <v>146</v>
      </c>
      <c r="J24" s="1">
        <v>14.101132417022569</v>
      </c>
      <c r="K24" s="1">
        <v>2691.3224300000034</v>
      </c>
      <c r="L24" s="2">
        <v>2.575687949770248E-2</v>
      </c>
      <c r="M24">
        <v>0.1</v>
      </c>
      <c r="N24">
        <v>2.4300000000000002</v>
      </c>
      <c r="O24">
        <v>2.54</v>
      </c>
    </row>
    <row r="25" spans="1:15" ht="16" x14ac:dyDescent="0.2">
      <c r="A25" s="3" t="s">
        <v>213</v>
      </c>
      <c r="B25" s="1">
        <v>1097266.52</v>
      </c>
      <c r="C25" s="1">
        <v>74800.509999999995</v>
      </c>
      <c r="D25" s="1">
        <v>18664.48</v>
      </c>
      <c r="E25" s="1">
        <v>56554</v>
      </c>
      <c r="F25" s="6">
        <v>1.322638716978463</v>
      </c>
      <c r="G25" t="s">
        <v>117</v>
      </c>
      <c r="H25" t="s">
        <v>119</v>
      </c>
      <c r="I25" t="s">
        <v>214</v>
      </c>
      <c r="J25" s="1">
        <v>19.402102769034904</v>
      </c>
      <c r="K25" s="1">
        <v>1498.4387779999954</v>
      </c>
      <c r="L25" s="2">
        <v>2.0032467398952165E-2</v>
      </c>
      <c r="M25">
        <v>0.83</v>
      </c>
      <c r="N25">
        <v>1.1399999999999999</v>
      </c>
      <c r="O25">
        <v>1.52</v>
      </c>
    </row>
    <row r="26" spans="1:15" ht="16" x14ac:dyDescent="0.2">
      <c r="A26" s="3" t="s">
        <v>78</v>
      </c>
      <c r="B26" s="1">
        <v>1504326.42</v>
      </c>
      <c r="C26" s="1">
        <v>104808.47</v>
      </c>
      <c r="D26" s="1">
        <v>31172.86</v>
      </c>
      <c r="E26" s="1">
        <v>93767</v>
      </c>
      <c r="F26" s="6">
        <v>1.1177543272153316</v>
      </c>
      <c r="G26" t="s">
        <v>117</v>
      </c>
      <c r="H26" t="s">
        <v>122</v>
      </c>
      <c r="I26" t="s">
        <v>148</v>
      </c>
      <c r="J26" s="1">
        <v>16.043239305939188</v>
      </c>
      <c r="K26" s="1">
        <v>1340.8050149999942</v>
      </c>
      <c r="L26" s="2">
        <v>1.2792907052263946E-2</v>
      </c>
      <c r="M26">
        <v>0.78</v>
      </c>
      <c r="N26">
        <v>1.1200000000000001</v>
      </c>
      <c r="O26">
        <v>2.67</v>
      </c>
    </row>
    <row r="27" spans="1:15" ht="16" x14ac:dyDescent="0.2">
      <c r="A27" s="3" t="s">
        <v>77</v>
      </c>
      <c r="B27" s="1">
        <v>1311823.8799999999</v>
      </c>
      <c r="C27" s="1">
        <v>75599.429999999993</v>
      </c>
      <c r="D27" s="1">
        <v>22021.13</v>
      </c>
      <c r="E27" s="1">
        <v>67447</v>
      </c>
      <c r="F27" s="6">
        <v>1.1208716473675626</v>
      </c>
      <c r="G27" t="s">
        <v>117</v>
      </c>
      <c r="H27" t="s">
        <v>126</v>
      </c>
      <c r="I27" t="s">
        <v>147</v>
      </c>
      <c r="J27" s="1">
        <v>19.449699467730216</v>
      </c>
      <c r="K27" s="1">
        <v>1174.7006149999909</v>
      </c>
      <c r="L27" s="2">
        <v>1.5538485078524943E-2</v>
      </c>
      <c r="M27">
        <v>0.91</v>
      </c>
      <c r="N27">
        <v>2.0499999999999998</v>
      </c>
      <c r="O27">
        <v>1.64</v>
      </c>
    </row>
    <row r="28" spans="1:15" ht="16" x14ac:dyDescent="0.2">
      <c r="A28" s="3" t="s">
        <v>40</v>
      </c>
      <c r="B28" s="1">
        <v>1808212.21</v>
      </c>
      <c r="C28" s="1">
        <v>122709.42</v>
      </c>
      <c r="D28" s="1">
        <v>35455.660000000003</v>
      </c>
      <c r="E28" s="1">
        <v>110528</v>
      </c>
      <c r="F28" s="6">
        <v>1.11021116821077</v>
      </c>
      <c r="G28" t="s">
        <v>117</v>
      </c>
      <c r="H28" t="s">
        <v>127</v>
      </c>
      <c r="I28" t="s">
        <v>149</v>
      </c>
      <c r="J28" s="1">
        <v>16.359765941661841</v>
      </c>
      <c r="K28" s="1">
        <v>746.74575999998251</v>
      </c>
      <c r="L28" s="2">
        <v>6.0854803160179756E-3</v>
      </c>
      <c r="M28">
        <v>0.89</v>
      </c>
      <c r="N28">
        <v>2.5499999999999998</v>
      </c>
      <c r="O28">
        <v>2.54</v>
      </c>
    </row>
    <row r="29" spans="1:15" ht="16" x14ac:dyDescent="0.2">
      <c r="A29" s="3" t="s">
        <v>45</v>
      </c>
      <c r="B29" s="1">
        <v>1994111.9</v>
      </c>
      <c r="C29" s="1">
        <v>154566.53</v>
      </c>
      <c r="D29" s="1">
        <v>38320.519999999997</v>
      </c>
      <c r="E29" s="1">
        <v>139762</v>
      </c>
      <c r="F29" s="6">
        <v>1.1059267182782158</v>
      </c>
      <c r="G29" t="s">
        <v>117</v>
      </c>
      <c r="H29" t="s">
        <v>124</v>
      </c>
      <c r="I29" t="s">
        <v>150</v>
      </c>
      <c r="J29" s="1">
        <v>14.267911878765329</v>
      </c>
      <c r="K29" s="1">
        <v>345.45228999998045</v>
      </c>
      <c r="L29" s="2">
        <v>2.2349747387094767E-3</v>
      </c>
      <c r="M29">
        <v>0.8</v>
      </c>
      <c r="N29">
        <v>3.1</v>
      </c>
      <c r="O29">
        <v>4.6500000000000004</v>
      </c>
    </row>
    <row r="30" spans="1:15" ht="16" x14ac:dyDescent="0.2">
      <c r="A30" s="3" t="s">
        <v>31</v>
      </c>
      <c r="B30" s="1">
        <v>3133673.76</v>
      </c>
      <c r="C30" s="1">
        <v>174433.94</v>
      </c>
      <c r="D30" s="1">
        <v>54325.53</v>
      </c>
      <c r="E30" s="1">
        <v>171852</v>
      </c>
      <c r="F30" s="6">
        <v>1.0150242068756838</v>
      </c>
      <c r="G30" t="s">
        <v>117</v>
      </c>
      <c r="H30" t="s">
        <v>124</v>
      </c>
      <c r="I30" t="s">
        <v>167</v>
      </c>
      <c r="J30" s="1">
        <v>18.234723832134627</v>
      </c>
      <c r="K30" s="1">
        <v>0</v>
      </c>
      <c r="L30" s="2">
        <v>0</v>
      </c>
      <c r="M30">
        <v>0.9</v>
      </c>
      <c r="N30">
        <v>4.3899999999999997</v>
      </c>
      <c r="O30">
        <v>4.1900000000000004</v>
      </c>
    </row>
    <row r="31" spans="1:15" ht="16" x14ac:dyDescent="0.2">
      <c r="A31" s="3" t="s">
        <v>69</v>
      </c>
      <c r="B31" s="1">
        <v>2664251.65</v>
      </c>
      <c r="C31" s="1">
        <v>150879.12</v>
      </c>
      <c r="D31" s="1">
        <v>42186.159999999996</v>
      </c>
      <c r="E31" s="1">
        <v>158141</v>
      </c>
      <c r="F31" s="6">
        <v>0.95407971367324096</v>
      </c>
      <c r="G31" t="s">
        <v>117</v>
      </c>
      <c r="H31" t="s">
        <v>128</v>
      </c>
      <c r="I31" t="s">
        <v>178</v>
      </c>
      <c r="J31" s="1">
        <v>16.847317583675327</v>
      </c>
      <c r="K31" s="1">
        <v>0</v>
      </c>
      <c r="L31" s="2">
        <v>0</v>
      </c>
      <c r="M31">
        <v>0.85</v>
      </c>
      <c r="N31">
        <v>4.09</v>
      </c>
      <c r="O31">
        <v>2.61</v>
      </c>
    </row>
    <row r="32" spans="1:15" ht="16" x14ac:dyDescent="0.2">
      <c r="A32" s="3" t="s">
        <v>44</v>
      </c>
      <c r="B32" s="1">
        <v>2367644.9</v>
      </c>
      <c r="C32" s="1">
        <v>129892.47</v>
      </c>
      <c r="D32" s="1">
        <v>30061.45</v>
      </c>
      <c r="E32" s="1">
        <v>134175</v>
      </c>
      <c r="F32" s="6">
        <v>0.96808250419228625</v>
      </c>
      <c r="G32" t="s">
        <v>117</v>
      </c>
      <c r="H32" t="s">
        <v>118</v>
      </c>
      <c r="I32" t="s">
        <v>174</v>
      </c>
      <c r="J32" s="1">
        <v>17.645946711384386</v>
      </c>
      <c r="K32" s="1">
        <v>0</v>
      </c>
      <c r="L32" s="2">
        <v>0</v>
      </c>
      <c r="M32">
        <v>0.91</v>
      </c>
      <c r="N32">
        <v>2.82</v>
      </c>
      <c r="O32">
        <v>2.5</v>
      </c>
    </row>
    <row r="33" spans="1:15" ht="16" x14ac:dyDescent="0.2">
      <c r="A33" s="3" t="s">
        <v>90</v>
      </c>
      <c r="B33" s="1">
        <v>2357418.36</v>
      </c>
      <c r="C33" s="1">
        <v>139717.46</v>
      </c>
      <c r="D33" s="1">
        <v>40045.35</v>
      </c>
      <c r="E33" s="1">
        <v>136028</v>
      </c>
      <c r="F33" s="6">
        <v>1.0271227982474196</v>
      </c>
      <c r="G33" t="s">
        <v>117</v>
      </c>
      <c r="H33" t="s">
        <v>122</v>
      </c>
      <c r="I33" t="s">
        <v>165</v>
      </c>
      <c r="J33" s="1">
        <v>17.330390507836622</v>
      </c>
      <c r="K33" s="1">
        <v>0</v>
      </c>
      <c r="L33" s="2">
        <v>0</v>
      </c>
      <c r="M33">
        <v>0.89</v>
      </c>
      <c r="N33">
        <v>1.93</v>
      </c>
      <c r="O33">
        <v>3.55</v>
      </c>
    </row>
    <row r="34" spans="1:15" ht="16" x14ac:dyDescent="0.2">
      <c r="A34" s="3" t="s">
        <v>86</v>
      </c>
      <c r="B34" s="1">
        <v>2197056.09</v>
      </c>
      <c r="C34" s="1">
        <v>133958.45000000001</v>
      </c>
      <c r="D34" s="1">
        <v>29868.19</v>
      </c>
      <c r="E34" s="1">
        <v>126487</v>
      </c>
      <c r="F34" s="6">
        <v>1.0590689161732036</v>
      </c>
      <c r="G34" t="s">
        <v>117</v>
      </c>
      <c r="H34" t="s">
        <v>127</v>
      </c>
      <c r="I34" t="s">
        <v>161</v>
      </c>
      <c r="J34" s="1">
        <v>17.369817372536307</v>
      </c>
      <c r="K34" s="1">
        <v>0</v>
      </c>
      <c r="L34" s="2">
        <v>0</v>
      </c>
      <c r="M34">
        <v>0.6</v>
      </c>
      <c r="N34">
        <v>1.94</v>
      </c>
      <c r="O34">
        <v>2.65</v>
      </c>
    </row>
    <row r="35" spans="1:15" ht="16" x14ac:dyDescent="0.2">
      <c r="A35" s="3" t="s">
        <v>54</v>
      </c>
      <c r="B35" s="1">
        <v>2175358.09</v>
      </c>
      <c r="C35" s="1">
        <v>131670.07999999999</v>
      </c>
      <c r="D35" s="1">
        <v>46937.68</v>
      </c>
      <c r="E35" s="1">
        <v>137029</v>
      </c>
      <c r="F35" s="6">
        <v>0.96089207394055265</v>
      </c>
      <c r="G35" t="s">
        <v>117</v>
      </c>
      <c r="H35" t="s">
        <v>119</v>
      </c>
      <c r="I35" t="s">
        <v>176</v>
      </c>
      <c r="J35" s="1">
        <v>15.875165767830167</v>
      </c>
      <c r="K35" s="1">
        <v>0</v>
      </c>
      <c r="L35" s="2">
        <v>0</v>
      </c>
      <c r="M35">
        <v>0.83</v>
      </c>
      <c r="N35">
        <v>2.92</v>
      </c>
      <c r="O35">
        <v>3.43</v>
      </c>
    </row>
    <row r="36" spans="1:15" ht="16" x14ac:dyDescent="0.2">
      <c r="A36" s="3" t="s">
        <v>87</v>
      </c>
      <c r="B36" s="1">
        <v>2128079.25</v>
      </c>
      <c r="C36" s="1">
        <v>138802.53</v>
      </c>
      <c r="D36" s="1">
        <v>37515.86</v>
      </c>
      <c r="E36" s="1">
        <v>131889</v>
      </c>
      <c r="F36" s="6">
        <v>1.0524193071446444</v>
      </c>
      <c r="G36" t="s">
        <v>116</v>
      </c>
      <c r="H36" t="s">
        <v>119</v>
      </c>
      <c r="I36" t="s">
        <v>162</v>
      </c>
      <c r="J36" s="1">
        <v>16.135380888474398</v>
      </c>
      <c r="K36" s="1">
        <v>0</v>
      </c>
      <c r="L36" s="2">
        <v>0</v>
      </c>
      <c r="M36">
        <v>0.88</v>
      </c>
      <c r="N36">
        <v>3.42</v>
      </c>
      <c r="O36">
        <v>3.45</v>
      </c>
    </row>
    <row r="37" spans="1:15" ht="16" x14ac:dyDescent="0.2">
      <c r="A37" s="3" t="s">
        <v>100</v>
      </c>
      <c r="B37" s="1">
        <v>1837036.24</v>
      </c>
      <c r="C37" s="1">
        <v>109841.66</v>
      </c>
      <c r="D37" s="1">
        <v>25969.47</v>
      </c>
      <c r="E37" s="1">
        <v>116425</v>
      </c>
      <c r="F37" s="6">
        <v>0.94345424092763586</v>
      </c>
      <c r="G37" t="s">
        <v>117</v>
      </c>
      <c r="H37" t="s">
        <v>131</v>
      </c>
      <c r="I37" t="s">
        <v>181</v>
      </c>
      <c r="J37" s="1">
        <v>15.778709383723427</v>
      </c>
      <c r="K37" s="1">
        <v>0</v>
      </c>
      <c r="L37" s="2">
        <v>0</v>
      </c>
      <c r="M37">
        <v>0.87</v>
      </c>
      <c r="N37">
        <v>2.64</v>
      </c>
      <c r="O37">
        <v>1.7</v>
      </c>
    </row>
    <row r="38" spans="1:15" ht="16" x14ac:dyDescent="0.2">
      <c r="A38" s="3" t="s">
        <v>81</v>
      </c>
      <c r="B38" s="1">
        <v>1782026.41</v>
      </c>
      <c r="C38" s="1">
        <v>104242.43</v>
      </c>
      <c r="D38" s="1">
        <v>26650.01</v>
      </c>
      <c r="E38" s="1">
        <v>95542</v>
      </c>
      <c r="F38" s="6">
        <v>1.0910639299993719</v>
      </c>
      <c r="G38" t="s">
        <v>117</v>
      </c>
      <c r="H38" t="s">
        <v>124</v>
      </c>
      <c r="I38" t="s">
        <v>154</v>
      </c>
      <c r="J38" s="1">
        <v>18.65175954030688</v>
      </c>
      <c r="K38" s="1">
        <v>0</v>
      </c>
      <c r="L38" s="2">
        <v>0</v>
      </c>
      <c r="M38">
        <v>0.81</v>
      </c>
      <c r="N38">
        <v>1.88</v>
      </c>
      <c r="O38">
        <v>2.2000000000000002</v>
      </c>
    </row>
    <row r="39" spans="1:15" ht="16" x14ac:dyDescent="0.2">
      <c r="A39" s="3" t="s">
        <v>96</v>
      </c>
      <c r="B39" s="1">
        <v>1682755.19</v>
      </c>
      <c r="C39" s="1">
        <v>102961.43</v>
      </c>
      <c r="D39" s="1">
        <v>26265.1</v>
      </c>
      <c r="E39" s="1">
        <v>104445</v>
      </c>
      <c r="F39" s="6">
        <v>0.98579568193786193</v>
      </c>
      <c r="G39" t="s">
        <v>117</v>
      </c>
      <c r="H39" t="s">
        <v>124</v>
      </c>
      <c r="I39" t="s">
        <v>173</v>
      </c>
      <c r="J39" s="1">
        <v>16.11140016276509</v>
      </c>
      <c r="K39" s="1">
        <v>0</v>
      </c>
      <c r="L39" s="2">
        <v>0</v>
      </c>
      <c r="M39">
        <v>0.89</v>
      </c>
      <c r="N39">
        <v>1.8</v>
      </c>
      <c r="O39">
        <v>1.69</v>
      </c>
    </row>
    <row r="40" spans="1:15" ht="16" x14ac:dyDescent="0.2">
      <c r="A40" s="3" t="s">
        <v>94</v>
      </c>
      <c r="B40" s="1">
        <v>1659595.1099999999</v>
      </c>
      <c r="C40" s="1">
        <v>108006.77</v>
      </c>
      <c r="D40" s="1">
        <v>31311.02</v>
      </c>
      <c r="E40" s="1">
        <v>109304</v>
      </c>
      <c r="F40" s="6">
        <v>0.98813190734099399</v>
      </c>
      <c r="G40" t="s">
        <v>117</v>
      </c>
      <c r="H40" t="s">
        <v>120</v>
      </c>
      <c r="I40" t="s">
        <v>171</v>
      </c>
      <c r="J40" s="1">
        <v>15.183297134597085</v>
      </c>
      <c r="K40" s="1">
        <v>0</v>
      </c>
      <c r="L40" s="2">
        <v>0</v>
      </c>
      <c r="M40">
        <v>0.92</v>
      </c>
      <c r="N40">
        <v>1.78</v>
      </c>
      <c r="O40">
        <v>2.66</v>
      </c>
    </row>
    <row r="41" spans="1:15" ht="16" x14ac:dyDescent="0.2">
      <c r="A41" s="3" t="s">
        <v>33</v>
      </c>
      <c r="B41" s="1">
        <v>1650538.07</v>
      </c>
      <c r="C41" s="1">
        <v>108468.02</v>
      </c>
      <c r="D41" s="1">
        <v>30228.190000000002</v>
      </c>
      <c r="E41" s="1">
        <v>101084</v>
      </c>
      <c r="F41" s="6">
        <v>1.0730483558228801</v>
      </c>
      <c r="G41" t="s">
        <v>117</v>
      </c>
      <c r="H41" t="s">
        <v>130</v>
      </c>
      <c r="I41" t="s">
        <v>158</v>
      </c>
      <c r="J41" s="1">
        <v>16.328381049424241</v>
      </c>
      <c r="K41" s="1">
        <v>0</v>
      </c>
      <c r="L41" s="2">
        <v>0</v>
      </c>
      <c r="M41">
        <v>0.86</v>
      </c>
      <c r="N41">
        <v>1.67</v>
      </c>
      <c r="O41">
        <v>2.59</v>
      </c>
    </row>
    <row r="42" spans="1:15" ht="16" x14ac:dyDescent="0.2">
      <c r="A42" s="3" t="s">
        <v>18</v>
      </c>
      <c r="B42" s="1">
        <v>1644725.11</v>
      </c>
      <c r="C42" s="1">
        <v>129679.53</v>
      </c>
      <c r="D42" s="1">
        <v>28073.68</v>
      </c>
      <c r="E42" s="1">
        <v>122317</v>
      </c>
      <c r="F42" s="6">
        <v>1.0601922054988269</v>
      </c>
      <c r="G42" t="s">
        <v>117</v>
      </c>
      <c r="H42" t="s">
        <v>123</v>
      </c>
      <c r="I42" t="s">
        <v>160</v>
      </c>
      <c r="J42" s="1">
        <v>13.44641472567182</v>
      </c>
      <c r="K42" s="1">
        <v>0</v>
      </c>
      <c r="L42" s="2">
        <v>0</v>
      </c>
      <c r="M42">
        <v>0.38</v>
      </c>
      <c r="N42">
        <v>1.64</v>
      </c>
      <c r="O42">
        <v>2.77</v>
      </c>
    </row>
    <row r="43" spans="1:15" ht="16" x14ac:dyDescent="0.2">
      <c r="A43" s="3" t="s">
        <v>56</v>
      </c>
      <c r="B43" s="1">
        <v>1640048.73</v>
      </c>
      <c r="C43" s="1">
        <v>110292.59</v>
      </c>
      <c r="D43" s="1">
        <v>30491.43</v>
      </c>
      <c r="E43" s="1">
        <v>100385</v>
      </c>
      <c r="F43" s="6">
        <v>1.0986959207052847</v>
      </c>
      <c r="G43" t="s">
        <v>117</v>
      </c>
      <c r="H43" t="s">
        <v>124</v>
      </c>
      <c r="I43" t="s">
        <v>153</v>
      </c>
      <c r="J43" s="1">
        <v>16.33758758778702</v>
      </c>
      <c r="K43" s="1">
        <v>0</v>
      </c>
      <c r="L43" s="2">
        <v>0</v>
      </c>
      <c r="M43">
        <v>0.81</v>
      </c>
      <c r="N43">
        <v>2.69</v>
      </c>
      <c r="O43">
        <v>0.92</v>
      </c>
    </row>
    <row r="44" spans="1:15" ht="16" x14ac:dyDescent="0.2">
      <c r="A44" s="3" t="s">
        <v>98</v>
      </c>
      <c r="B44" s="1">
        <v>1638548.62</v>
      </c>
      <c r="C44" s="1">
        <v>91011.79</v>
      </c>
      <c r="D44" s="1">
        <v>27453.91</v>
      </c>
      <c r="E44" s="1">
        <v>95112</v>
      </c>
      <c r="F44" s="6">
        <v>0.95689071831104378</v>
      </c>
      <c r="G44" t="s">
        <v>117</v>
      </c>
      <c r="H44" t="s">
        <v>131</v>
      </c>
      <c r="I44" t="s">
        <v>177</v>
      </c>
      <c r="J44" s="1">
        <v>17.227569812431661</v>
      </c>
      <c r="K44" s="1">
        <v>0</v>
      </c>
      <c r="L44" s="2">
        <v>0</v>
      </c>
      <c r="M44">
        <v>0.93</v>
      </c>
      <c r="N44">
        <v>1.72</v>
      </c>
      <c r="O44">
        <v>1.76</v>
      </c>
    </row>
    <row r="45" spans="1:15" ht="16" x14ac:dyDescent="0.2">
      <c r="A45" s="3" t="s">
        <v>92</v>
      </c>
      <c r="B45" s="1">
        <v>1634289.45</v>
      </c>
      <c r="C45" s="1">
        <v>105443.99</v>
      </c>
      <c r="D45" s="1">
        <v>37993.68</v>
      </c>
      <c r="E45" s="1">
        <v>106008</v>
      </c>
      <c r="F45" s="6">
        <v>0.99467955248660478</v>
      </c>
      <c r="G45" t="s">
        <v>117</v>
      </c>
      <c r="H45" t="s">
        <v>130</v>
      </c>
      <c r="I45" t="s">
        <v>169</v>
      </c>
      <c r="J45" s="1">
        <v>15.416661478378989</v>
      </c>
      <c r="K45" s="1">
        <v>0</v>
      </c>
      <c r="L45" s="2">
        <v>0</v>
      </c>
      <c r="M45">
        <v>0.87</v>
      </c>
      <c r="N45">
        <v>2.7</v>
      </c>
      <c r="O45">
        <v>2.64</v>
      </c>
    </row>
    <row r="46" spans="1:15" ht="16" x14ac:dyDescent="0.2">
      <c r="A46" s="3" t="s">
        <v>99</v>
      </c>
      <c r="B46" s="1">
        <v>1624401.26</v>
      </c>
      <c r="C46" s="1">
        <v>102420.25</v>
      </c>
      <c r="D46" s="1">
        <v>29972.94</v>
      </c>
      <c r="E46" s="1">
        <v>108154</v>
      </c>
      <c r="F46" s="6">
        <v>0.94698531723283463</v>
      </c>
      <c r="G46" t="s">
        <v>117</v>
      </c>
      <c r="H46" t="s">
        <v>128</v>
      </c>
      <c r="I46" t="s">
        <v>179</v>
      </c>
      <c r="J46" s="1">
        <v>15.019335946890545</v>
      </c>
      <c r="K46" s="1">
        <v>0</v>
      </c>
      <c r="L46" s="2">
        <v>0</v>
      </c>
      <c r="M46">
        <v>0.54</v>
      </c>
      <c r="N46">
        <v>2.98</v>
      </c>
      <c r="O46">
        <v>1.84</v>
      </c>
    </row>
    <row r="47" spans="1:15" ht="16" x14ac:dyDescent="0.2">
      <c r="A47" s="3" t="s">
        <v>89</v>
      </c>
      <c r="B47" s="1">
        <v>1584351.07</v>
      </c>
      <c r="C47" s="1">
        <v>102539.61</v>
      </c>
      <c r="D47" s="1">
        <v>31174.11</v>
      </c>
      <c r="E47" s="1">
        <v>99575</v>
      </c>
      <c r="F47" s="6">
        <v>1.029772633693196</v>
      </c>
      <c r="G47" t="s">
        <v>117</v>
      </c>
      <c r="H47" t="s">
        <v>127</v>
      </c>
      <c r="I47" t="s">
        <v>164</v>
      </c>
      <c r="J47" s="1">
        <v>15.911133015315089</v>
      </c>
      <c r="K47" s="1">
        <v>0</v>
      </c>
      <c r="L47" s="2">
        <v>0</v>
      </c>
      <c r="M47">
        <v>0.9</v>
      </c>
      <c r="N47">
        <v>1.88</v>
      </c>
      <c r="O47">
        <v>2.65</v>
      </c>
    </row>
    <row r="48" spans="1:15" ht="16" x14ac:dyDescent="0.2">
      <c r="A48" s="3" t="s">
        <v>95</v>
      </c>
      <c r="B48" s="1">
        <v>1565047.83</v>
      </c>
      <c r="C48" s="1">
        <v>94669.78</v>
      </c>
      <c r="D48" s="1">
        <v>24872.04</v>
      </c>
      <c r="E48" s="1">
        <v>95959</v>
      </c>
      <c r="F48" s="6">
        <v>0.98656488708719348</v>
      </c>
      <c r="G48" t="s">
        <v>117</v>
      </c>
      <c r="H48" t="s">
        <v>127</v>
      </c>
      <c r="I48" t="s">
        <v>172</v>
      </c>
      <c r="J48" s="1">
        <v>16.309547098239875</v>
      </c>
      <c r="K48" s="1">
        <v>0</v>
      </c>
      <c r="L48" s="2">
        <v>0</v>
      </c>
      <c r="M48">
        <v>0.68</v>
      </c>
      <c r="N48">
        <v>1.68</v>
      </c>
      <c r="O48">
        <v>2.0099999999999998</v>
      </c>
    </row>
    <row r="49" spans="1:15" ht="16" x14ac:dyDescent="0.2">
      <c r="A49" s="3" t="s">
        <v>62</v>
      </c>
      <c r="B49" s="1">
        <v>1560579.3800000001</v>
      </c>
      <c r="C49" s="1">
        <v>98541.48</v>
      </c>
      <c r="D49" s="1">
        <v>28697.21</v>
      </c>
      <c r="E49" s="1">
        <v>104091</v>
      </c>
      <c r="F49" s="6">
        <v>0.94668588062368497</v>
      </c>
      <c r="G49" t="s">
        <v>117</v>
      </c>
      <c r="H49" t="s">
        <v>125</v>
      </c>
      <c r="I49" t="s">
        <v>180</v>
      </c>
      <c r="J49" s="1">
        <v>14.992452565543612</v>
      </c>
      <c r="K49" s="1">
        <v>0</v>
      </c>
      <c r="L49" s="2">
        <v>0</v>
      </c>
      <c r="M49">
        <v>0.12</v>
      </c>
      <c r="N49">
        <v>1.8</v>
      </c>
      <c r="O49">
        <v>1.69</v>
      </c>
    </row>
    <row r="50" spans="1:15" ht="16" x14ac:dyDescent="0.2">
      <c r="A50" s="3" t="s">
        <v>19</v>
      </c>
      <c r="B50" s="1">
        <v>1559378.57</v>
      </c>
      <c r="C50" s="1">
        <v>100957.38</v>
      </c>
      <c r="D50" s="1">
        <v>28418.560000000001</v>
      </c>
      <c r="E50" s="1">
        <v>109587</v>
      </c>
      <c r="F50" s="6">
        <v>0.92125325084179699</v>
      </c>
      <c r="G50" t="s">
        <v>117</v>
      </c>
      <c r="H50" t="s">
        <v>126</v>
      </c>
      <c r="I50" t="s">
        <v>182</v>
      </c>
      <c r="J50" s="1">
        <v>14.229594477447144</v>
      </c>
      <c r="K50" s="1">
        <v>0</v>
      </c>
      <c r="L50" s="2">
        <v>0</v>
      </c>
      <c r="M50">
        <v>0.85</v>
      </c>
      <c r="N50">
        <v>1.18</v>
      </c>
      <c r="O50">
        <v>2.58</v>
      </c>
    </row>
    <row r="51" spans="1:15" ht="16" x14ac:dyDescent="0.2">
      <c r="A51" s="3" t="s">
        <v>22</v>
      </c>
      <c r="B51" s="1">
        <v>1555373.54</v>
      </c>
      <c r="C51" s="1">
        <v>115051.43</v>
      </c>
      <c r="D51" s="1">
        <v>31260.87</v>
      </c>
      <c r="E51" s="1">
        <v>114526</v>
      </c>
      <c r="F51" s="6">
        <v>1.0045878665106613</v>
      </c>
      <c r="G51" t="s">
        <v>117</v>
      </c>
      <c r="H51" t="s">
        <v>129</v>
      </c>
      <c r="I51" t="s">
        <v>168</v>
      </c>
      <c r="J51" s="1">
        <v>13.580964497144754</v>
      </c>
      <c r="K51" s="1">
        <v>0</v>
      </c>
      <c r="L51" s="2">
        <v>0</v>
      </c>
      <c r="M51">
        <v>0.65</v>
      </c>
      <c r="N51">
        <v>1.87</v>
      </c>
      <c r="O51">
        <v>1.78</v>
      </c>
    </row>
    <row r="52" spans="1:15" ht="16" x14ac:dyDescent="0.2">
      <c r="A52" s="3" t="s">
        <v>102</v>
      </c>
      <c r="B52" s="1">
        <v>1538371.57</v>
      </c>
      <c r="C52" s="1">
        <v>96362.06</v>
      </c>
      <c r="D52" s="1">
        <v>26786.690000000002</v>
      </c>
      <c r="E52" s="1">
        <v>104628</v>
      </c>
      <c r="F52" s="6">
        <v>0.92099686508391632</v>
      </c>
      <c r="G52" t="s">
        <v>117</v>
      </c>
      <c r="H52" t="s">
        <v>125</v>
      </c>
      <c r="I52" t="s">
        <v>183</v>
      </c>
      <c r="J52" s="1">
        <v>14.703249321405361</v>
      </c>
      <c r="K52" s="1">
        <v>0</v>
      </c>
      <c r="L52" s="2">
        <v>0</v>
      </c>
      <c r="M52">
        <v>0.85</v>
      </c>
      <c r="N52">
        <v>1.64</v>
      </c>
      <c r="O52">
        <v>2.42</v>
      </c>
    </row>
    <row r="53" spans="1:15" ht="16" x14ac:dyDescent="0.2">
      <c r="A53" s="3" t="s">
        <v>103</v>
      </c>
      <c r="B53" s="1">
        <v>1524280.2</v>
      </c>
      <c r="C53" s="1">
        <v>96171.56</v>
      </c>
      <c r="D53" s="1">
        <v>24204.22</v>
      </c>
      <c r="E53" s="1">
        <v>104604</v>
      </c>
      <c r="F53" s="6">
        <v>0.91938702152881335</v>
      </c>
      <c r="G53" t="s">
        <v>117</v>
      </c>
      <c r="H53" t="s">
        <v>125</v>
      </c>
      <c r="I53" t="s">
        <v>184</v>
      </c>
      <c r="J53" s="1">
        <v>14.571911207984398</v>
      </c>
      <c r="K53" s="1">
        <v>0</v>
      </c>
      <c r="L53" s="2">
        <v>0</v>
      </c>
      <c r="M53">
        <v>0.87</v>
      </c>
      <c r="N53">
        <v>0.77</v>
      </c>
      <c r="O53">
        <v>2.54</v>
      </c>
    </row>
    <row r="54" spans="1:15" ht="16" x14ac:dyDescent="0.2">
      <c r="A54" s="3" t="s">
        <v>101</v>
      </c>
      <c r="B54" s="1">
        <v>1507386.54</v>
      </c>
      <c r="C54" s="1">
        <v>89984.69</v>
      </c>
      <c r="D54" s="1">
        <v>23676.83</v>
      </c>
      <c r="E54" s="1">
        <v>96309</v>
      </c>
      <c r="F54" s="6">
        <v>0.93433313605166701</v>
      </c>
      <c r="G54" t="s">
        <v>117</v>
      </c>
      <c r="H54" t="s">
        <v>128</v>
      </c>
      <c r="I54" t="s">
        <v>179</v>
      </c>
      <c r="J54" s="1">
        <v>15.651564651278697</v>
      </c>
      <c r="K54" s="1">
        <v>0</v>
      </c>
      <c r="L54" s="2">
        <v>0</v>
      </c>
      <c r="M54">
        <v>0.84</v>
      </c>
      <c r="N54">
        <v>1.97</v>
      </c>
      <c r="O54">
        <v>1.7</v>
      </c>
    </row>
    <row r="55" spans="1:15" ht="16" x14ac:dyDescent="0.2">
      <c r="A55" s="3" t="s">
        <v>88</v>
      </c>
      <c r="B55" s="1">
        <v>1463999.96</v>
      </c>
      <c r="C55" s="1">
        <v>101673.37</v>
      </c>
      <c r="D55" s="1">
        <v>28354.42</v>
      </c>
      <c r="E55" s="1">
        <v>96810</v>
      </c>
      <c r="F55" s="6">
        <v>1.0502362359260407</v>
      </c>
      <c r="G55" t="s">
        <v>117</v>
      </c>
      <c r="H55" t="s">
        <v>130</v>
      </c>
      <c r="I55" t="s">
        <v>163</v>
      </c>
      <c r="J55" s="1">
        <v>15.122404297076748</v>
      </c>
      <c r="K55" s="1">
        <v>0</v>
      </c>
      <c r="L55" s="2">
        <v>0</v>
      </c>
      <c r="M55">
        <v>0.89</v>
      </c>
      <c r="N55">
        <v>1.6</v>
      </c>
      <c r="O55">
        <v>2.46</v>
      </c>
    </row>
    <row r="56" spans="1:15" ht="16" x14ac:dyDescent="0.2">
      <c r="A56" s="3" t="s">
        <v>84</v>
      </c>
      <c r="B56" s="1">
        <v>1415429.65</v>
      </c>
      <c r="C56" s="1">
        <v>93036.73</v>
      </c>
      <c r="D56" s="1">
        <v>25665.3</v>
      </c>
      <c r="E56" s="1">
        <v>86564</v>
      </c>
      <c r="F56" s="6">
        <v>1.0747739244951711</v>
      </c>
      <c r="G56" t="s">
        <v>117</v>
      </c>
      <c r="H56" t="s">
        <v>120</v>
      </c>
      <c r="I56" t="s">
        <v>157</v>
      </c>
      <c r="J56" s="1">
        <v>16.351250519846587</v>
      </c>
      <c r="K56" s="1">
        <v>0</v>
      </c>
      <c r="L56" s="2">
        <v>0</v>
      </c>
      <c r="M56">
        <v>0.96</v>
      </c>
      <c r="N56">
        <v>1.06</v>
      </c>
      <c r="O56">
        <v>1.53</v>
      </c>
    </row>
    <row r="57" spans="1:15" ht="16" x14ac:dyDescent="0.2">
      <c r="A57" s="3" t="s">
        <v>85</v>
      </c>
      <c r="B57" s="1">
        <v>1367388.86</v>
      </c>
      <c r="C57" s="1">
        <v>103357.2</v>
      </c>
      <c r="D57" s="1">
        <v>26062.080000000002</v>
      </c>
      <c r="E57" s="1">
        <v>96484</v>
      </c>
      <c r="F57" s="6">
        <v>1.0712366817296131</v>
      </c>
      <c r="G57" t="s">
        <v>117</v>
      </c>
      <c r="H57" t="s">
        <v>125</v>
      </c>
      <c r="I57" t="s">
        <v>159</v>
      </c>
      <c r="J57" s="1">
        <v>14.172182538037395</v>
      </c>
      <c r="K57" s="1">
        <v>0</v>
      </c>
      <c r="L57" s="2">
        <v>0</v>
      </c>
      <c r="M57">
        <v>0.86</v>
      </c>
      <c r="N57">
        <v>1.65</v>
      </c>
      <c r="O57">
        <v>2.59</v>
      </c>
    </row>
    <row r="58" spans="1:15" ht="16" x14ac:dyDescent="0.2">
      <c r="A58" s="3" t="s">
        <v>82</v>
      </c>
      <c r="B58" s="1">
        <v>1357083.97</v>
      </c>
      <c r="C58" s="1">
        <v>93409.279999999999</v>
      </c>
      <c r="D58" s="1">
        <v>23123.010000000002</v>
      </c>
      <c r="E58" s="1">
        <v>86230</v>
      </c>
      <c r="F58" s="6">
        <v>1.0832573350342107</v>
      </c>
      <c r="G58" t="s">
        <v>117</v>
      </c>
      <c r="H58" t="s">
        <v>121</v>
      </c>
      <c r="I58" t="s">
        <v>155</v>
      </c>
      <c r="J58" s="1">
        <v>15.737956279717036</v>
      </c>
      <c r="K58" s="1">
        <v>0</v>
      </c>
      <c r="L58" s="2">
        <v>0</v>
      </c>
      <c r="M58">
        <v>0.75</v>
      </c>
      <c r="N58">
        <v>1.89</v>
      </c>
      <c r="O58">
        <v>1.63</v>
      </c>
    </row>
    <row r="59" spans="1:15" ht="16" x14ac:dyDescent="0.2">
      <c r="A59" s="3" t="s">
        <v>97</v>
      </c>
      <c r="B59" s="1">
        <v>1356507.3</v>
      </c>
      <c r="C59" s="1">
        <v>87100.84</v>
      </c>
      <c r="D59" s="1">
        <v>21598.13</v>
      </c>
      <c r="E59" s="1">
        <v>90361</v>
      </c>
      <c r="F59" s="6">
        <v>0.96392071800887547</v>
      </c>
      <c r="G59" t="s">
        <v>117</v>
      </c>
      <c r="H59" t="s">
        <v>122</v>
      </c>
      <c r="I59" t="s">
        <v>175</v>
      </c>
      <c r="J59" s="1">
        <v>15.01208817963502</v>
      </c>
      <c r="K59" s="1">
        <v>0</v>
      </c>
      <c r="L59" s="2">
        <v>0</v>
      </c>
      <c r="M59">
        <v>0.11</v>
      </c>
      <c r="N59">
        <v>1.91</v>
      </c>
      <c r="O59">
        <v>1.6</v>
      </c>
    </row>
    <row r="60" spans="1:15" ht="16" x14ac:dyDescent="0.2">
      <c r="A60" s="3" t="s">
        <v>93</v>
      </c>
      <c r="B60" s="1">
        <v>1347444.84</v>
      </c>
      <c r="C60" s="1">
        <v>102002.68000000001</v>
      </c>
      <c r="D60" s="1">
        <v>24948.61</v>
      </c>
      <c r="E60" s="1">
        <v>102959</v>
      </c>
      <c r="F60" s="6">
        <v>0.99071164249847032</v>
      </c>
      <c r="G60" t="s">
        <v>117</v>
      </c>
      <c r="H60" t="s">
        <v>127</v>
      </c>
      <c r="I60" t="s">
        <v>170</v>
      </c>
      <c r="J60" s="1">
        <v>13.087198205110774</v>
      </c>
      <c r="K60" s="1">
        <v>0</v>
      </c>
      <c r="L60" s="2">
        <v>0</v>
      </c>
      <c r="M60">
        <v>0.81</v>
      </c>
      <c r="N60">
        <v>1.78</v>
      </c>
      <c r="O60">
        <v>2.52</v>
      </c>
    </row>
    <row r="61" spans="1:15" ht="16" x14ac:dyDescent="0.2">
      <c r="A61" s="3" t="s">
        <v>79</v>
      </c>
      <c r="B61" s="1">
        <v>1316340.19</v>
      </c>
      <c r="C61" s="1">
        <v>104928.15</v>
      </c>
      <c r="D61" s="1">
        <v>25463.040000000001</v>
      </c>
      <c r="E61" s="1">
        <v>95304</v>
      </c>
      <c r="F61" s="6">
        <v>1.1009836942835558</v>
      </c>
      <c r="G61" t="s">
        <v>117</v>
      </c>
      <c r="H61" t="s">
        <v>128</v>
      </c>
      <c r="I61" t="s">
        <v>151</v>
      </c>
      <c r="J61" s="1">
        <v>13.81201408125577</v>
      </c>
      <c r="K61" s="1">
        <v>0</v>
      </c>
      <c r="L61" s="2">
        <v>0</v>
      </c>
      <c r="M61">
        <v>0.84</v>
      </c>
      <c r="N61">
        <v>1.87</v>
      </c>
      <c r="O61">
        <v>1.93</v>
      </c>
    </row>
    <row r="62" spans="1:15" ht="16" x14ac:dyDescent="0.2">
      <c r="A62" s="3" t="s">
        <v>91</v>
      </c>
      <c r="B62" s="1">
        <v>1304017.57</v>
      </c>
      <c r="C62" s="1">
        <v>94966.69</v>
      </c>
      <c r="D62" s="1">
        <v>28522.920000000002</v>
      </c>
      <c r="E62" s="1">
        <v>92521</v>
      </c>
      <c r="F62" s="6">
        <v>1.0264338906842772</v>
      </c>
      <c r="G62" t="s">
        <v>116</v>
      </c>
      <c r="H62" t="s">
        <v>121</v>
      </c>
      <c r="I62" t="s">
        <v>166</v>
      </c>
      <c r="J62" s="1">
        <v>14.094287459063349</v>
      </c>
      <c r="K62" s="1">
        <v>0</v>
      </c>
      <c r="L62" s="2">
        <v>0</v>
      </c>
      <c r="M62">
        <v>0.83</v>
      </c>
      <c r="N62">
        <v>0.9</v>
      </c>
      <c r="O62">
        <v>2.29</v>
      </c>
    </row>
    <row r="63" spans="1:15" ht="16" x14ac:dyDescent="0.2">
      <c r="A63" s="3" t="s">
        <v>83</v>
      </c>
      <c r="B63" s="1">
        <v>1295245</v>
      </c>
      <c r="C63" s="1">
        <v>104711.67</v>
      </c>
      <c r="D63" s="1">
        <v>25543.72</v>
      </c>
      <c r="E63" s="1">
        <v>97104</v>
      </c>
      <c r="F63" s="6">
        <v>1.0783455882352941</v>
      </c>
      <c r="G63" t="s">
        <v>117</v>
      </c>
      <c r="H63" t="s">
        <v>120</v>
      </c>
      <c r="I63" t="s">
        <v>156</v>
      </c>
      <c r="J63" s="1">
        <v>13.338739907727797</v>
      </c>
      <c r="K63" s="1">
        <v>0</v>
      </c>
      <c r="L63" s="2">
        <v>0</v>
      </c>
      <c r="M63">
        <v>0.79</v>
      </c>
      <c r="N63">
        <v>1.52</v>
      </c>
      <c r="O63">
        <v>2.2000000000000002</v>
      </c>
    </row>
    <row r="64" spans="1:15" ht="16" x14ac:dyDescent="0.2">
      <c r="A64" s="3" t="s">
        <v>80</v>
      </c>
      <c r="B64" s="1">
        <v>1283613.5</v>
      </c>
      <c r="C64" s="1">
        <v>68504.350000000006</v>
      </c>
      <c r="D64" s="1">
        <v>24063.73</v>
      </c>
      <c r="E64" s="1">
        <v>62321</v>
      </c>
      <c r="F64" s="6">
        <v>1.099217759663677</v>
      </c>
      <c r="G64" t="s">
        <v>117</v>
      </c>
      <c r="H64" t="s">
        <v>129</v>
      </c>
      <c r="I64" t="s">
        <v>152</v>
      </c>
      <c r="J64" s="1">
        <v>20.596805250236677</v>
      </c>
      <c r="K64" s="1">
        <v>0</v>
      </c>
      <c r="L64" s="2">
        <v>0</v>
      </c>
      <c r="M64">
        <v>0.88</v>
      </c>
      <c r="N64">
        <v>1.9</v>
      </c>
      <c r="O64">
        <v>1.74</v>
      </c>
    </row>
    <row r="65" spans="1:15" ht="16" x14ac:dyDescent="0.2">
      <c r="A65" s="3" t="s">
        <v>228</v>
      </c>
      <c r="B65" s="1">
        <v>1246465.45</v>
      </c>
      <c r="C65" s="1">
        <v>94888.94</v>
      </c>
      <c r="D65" s="1">
        <v>25455.75</v>
      </c>
      <c r="E65" s="1">
        <v>82400</v>
      </c>
      <c r="F65" s="6">
        <v>1.1515648058252428</v>
      </c>
      <c r="G65" t="s">
        <v>117</v>
      </c>
      <c r="H65" t="s">
        <v>121</v>
      </c>
      <c r="I65" t="s">
        <v>229</v>
      </c>
      <c r="J65" s="1">
        <v>15.127007888349514</v>
      </c>
      <c r="K65" s="1">
        <v>0</v>
      </c>
      <c r="L65" s="2">
        <v>0</v>
      </c>
      <c r="M65">
        <v>0.85</v>
      </c>
      <c r="N65">
        <v>1.77</v>
      </c>
      <c r="O65">
        <v>1.76</v>
      </c>
    </row>
    <row r="66" spans="1:15" ht="16" x14ac:dyDescent="0.2">
      <c r="A66" s="3" t="s">
        <v>215</v>
      </c>
      <c r="B66" s="1">
        <v>1243669.92</v>
      </c>
      <c r="C66" s="1">
        <v>104061.49</v>
      </c>
      <c r="D66" s="1">
        <v>20186.689999999999</v>
      </c>
      <c r="E66" s="1">
        <v>81961</v>
      </c>
      <c r="F66" s="6">
        <v>1.2696464171984236</v>
      </c>
      <c r="G66" t="s">
        <v>117</v>
      </c>
      <c r="H66" t="s">
        <v>119</v>
      </c>
      <c r="I66" t="s">
        <v>200</v>
      </c>
      <c r="J66" s="1">
        <v>15.173923207379119</v>
      </c>
      <c r="K66" s="1">
        <v>0</v>
      </c>
      <c r="L66" s="2">
        <v>0</v>
      </c>
      <c r="M66">
        <v>0.8</v>
      </c>
      <c r="N66">
        <v>1.1000000000000001</v>
      </c>
      <c r="O66">
        <v>2.92</v>
      </c>
    </row>
    <row r="67" spans="1:15" ht="16" x14ac:dyDescent="0.2">
      <c r="A67" s="3" t="s">
        <v>231</v>
      </c>
      <c r="B67" s="1">
        <v>1185947.44</v>
      </c>
      <c r="C67" s="1">
        <v>99445.26</v>
      </c>
      <c r="D67" s="1">
        <v>25212.68</v>
      </c>
      <c r="E67" s="1">
        <v>88691</v>
      </c>
      <c r="F67" s="6">
        <v>1.1212553697669436</v>
      </c>
      <c r="G67" t="s">
        <v>117</v>
      </c>
      <c r="H67" t="s">
        <v>206</v>
      </c>
      <c r="I67" t="s">
        <v>232</v>
      </c>
      <c r="J67" s="1">
        <v>13.371677396804635</v>
      </c>
      <c r="K67" s="1">
        <v>0</v>
      </c>
      <c r="L67" s="2">
        <v>0</v>
      </c>
      <c r="M67">
        <v>0.6</v>
      </c>
      <c r="N67">
        <v>1.83</v>
      </c>
      <c r="O67">
        <v>2.71</v>
      </c>
    </row>
    <row r="68" spans="1:15" ht="16" x14ac:dyDescent="0.2">
      <c r="A68" s="3" t="s">
        <v>233</v>
      </c>
      <c r="B68" s="1">
        <v>1165500.3999999999</v>
      </c>
      <c r="C68" s="1">
        <v>95083.45</v>
      </c>
      <c r="D68" s="1">
        <v>21879.63</v>
      </c>
      <c r="E68" s="1">
        <v>85283</v>
      </c>
      <c r="F68" s="6">
        <v>1.1149168063975234</v>
      </c>
      <c r="G68" t="s">
        <v>117</v>
      </c>
      <c r="H68" t="s">
        <v>123</v>
      </c>
      <c r="I68" t="s">
        <v>234</v>
      </c>
      <c r="J68" s="1">
        <v>13.666268775723179</v>
      </c>
      <c r="K68" s="1">
        <v>0</v>
      </c>
      <c r="L68" s="2">
        <v>0</v>
      </c>
      <c r="M68">
        <v>0.85</v>
      </c>
      <c r="N68">
        <v>0.72</v>
      </c>
      <c r="O68">
        <v>2.0299999999999998</v>
      </c>
    </row>
    <row r="69" spans="1:15" ht="16" x14ac:dyDescent="0.2">
      <c r="A69" s="3" t="s">
        <v>49</v>
      </c>
      <c r="B69" s="1">
        <v>1138969.9099999999</v>
      </c>
      <c r="C69" s="1">
        <v>90317.23</v>
      </c>
      <c r="D69" s="1">
        <v>23166.29</v>
      </c>
      <c r="E69" s="1">
        <v>81440</v>
      </c>
      <c r="F69" s="6">
        <v>1.109003315324165</v>
      </c>
      <c r="G69" t="s">
        <v>117</v>
      </c>
      <c r="H69" t="s">
        <v>127</v>
      </c>
      <c r="I69" t="s">
        <v>236</v>
      </c>
      <c r="J69" s="1">
        <v>13.985386910609037</v>
      </c>
      <c r="K69" s="1">
        <v>0</v>
      </c>
      <c r="L69" s="2">
        <v>0</v>
      </c>
      <c r="M69">
        <v>0.88</v>
      </c>
      <c r="N69">
        <v>0.5</v>
      </c>
      <c r="O69">
        <v>1.42</v>
      </c>
    </row>
    <row r="70" spans="1:15" ht="16" x14ac:dyDescent="0.2">
      <c r="A70" s="3" t="s">
        <v>50</v>
      </c>
      <c r="B70" s="1">
        <v>1120226.5900000001</v>
      </c>
      <c r="C70" s="1">
        <v>93647.41</v>
      </c>
      <c r="D70" s="1">
        <v>25539.360000000001</v>
      </c>
      <c r="E70" s="1">
        <v>84098</v>
      </c>
      <c r="F70" s="6">
        <v>1.1135509762420035</v>
      </c>
      <c r="G70" t="s">
        <v>117</v>
      </c>
      <c r="H70" t="s">
        <v>132</v>
      </c>
      <c r="I70" t="s">
        <v>235</v>
      </c>
      <c r="J70" s="1">
        <v>13.320490261361746</v>
      </c>
      <c r="K70" s="1">
        <v>0</v>
      </c>
      <c r="L70" s="2">
        <v>0</v>
      </c>
      <c r="M70">
        <v>0.75</v>
      </c>
      <c r="N70">
        <v>0.84</v>
      </c>
      <c r="O70">
        <v>2.61</v>
      </c>
    </row>
    <row r="71" spans="1:15" ht="16" x14ac:dyDescent="0.2">
      <c r="A71" s="3" t="s">
        <v>23</v>
      </c>
      <c r="B71" s="1">
        <v>1115250.5900000001</v>
      </c>
      <c r="C71" s="1">
        <v>83689.56</v>
      </c>
      <c r="D71" s="1">
        <v>17805.09</v>
      </c>
      <c r="E71" s="1">
        <v>71671</v>
      </c>
      <c r="F71" s="6">
        <v>1.1676906977717627</v>
      </c>
      <c r="G71" t="s">
        <v>117</v>
      </c>
      <c r="H71" t="s">
        <v>131</v>
      </c>
      <c r="I71" t="s">
        <v>223</v>
      </c>
      <c r="J71" s="1">
        <v>15.560695260286588</v>
      </c>
      <c r="K71" s="1">
        <v>0</v>
      </c>
      <c r="L71" s="2">
        <v>0</v>
      </c>
      <c r="M71">
        <v>0.2</v>
      </c>
      <c r="N71">
        <v>1.89</v>
      </c>
      <c r="O71">
        <v>1.75</v>
      </c>
    </row>
    <row r="72" spans="1:15" ht="16" x14ac:dyDescent="0.2">
      <c r="A72" s="3" t="s">
        <v>224</v>
      </c>
      <c r="B72" s="1">
        <v>1038568.5700000001</v>
      </c>
      <c r="C72" s="1">
        <v>87798.27</v>
      </c>
      <c r="D72" s="1">
        <v>19655.34</v>
      </c>
      <c r="E72" s="1">
        <v>75487</v>
      </c>
      <c r="F72" s="6">
        <v>1.1630912607468835</v>
      </c>
      <c r="G72" t="s">
        <v>117</v>
      </c>
      <c r="H72" t="s">
        <v>122</v>
      </c>
      <c r="I72" t="s">
        <v>225</v>
      </c>
      <c r="J72" s="1">
        <v>13.75824406851511</v>
      </c>
      <c r="K72" s="1">
        <v>0</v>
      </c>
      <c r="L72" s="2">
        <v>0</v>
      </c>
      <c r="M72">
        <v>0.92</v>
      </c>
      <c r="N72">
        <v>0.83</v>
      </c>
      <c r="O72">
        <v>1.73</v>
      </c>
    </row>
    <row r="73" spans="1:15" ht="16" x14ac:dyDescent="0.2">
      <c r="A73" s="3" t="s">
        <v>220</v>
      </c>
      <c r="B73" s="1">
        <v>1027422.35</v>
      </c>
      <c r="C73" s="1">
        <v>90606.31</v>
      </c>
      <c r="D73" s="1">
        <v>12784.800000000001</v>
      </c>
      <c r="E73" s="1">
        <v>73931</v>
      </c>
      <c r="F73" s="6">
        <v>1.2255523393434418</v>
      </c>
      <c r="G73" t="s">
        <v>117</v>
      </c>
      <c r="H73" t="s">
        <v>123</v>
      </c>
      <c r="I73" t="s">
        <v>221</v>
      </c>
      <c r="J73" s="1">
        <v>13.897043865225683</v>
      </c>
      <c r="K73" s="1">
        <v>0</v>
      </c>
      <c r="L73" s="2">
        <v>0</v>
      </c>
      <c r="M73">
        <v>0.12</v>
      </c>
      <c r="N73">
        <v>0.81</v>
      </c>
      <c r="O73">
        <v>1.72</v>
      </c>
    </row>
    <row r="74" spans="1:15" ht="16" x14ac:dyDescent="0.2">
      <c r="A74" s="3" t="s">
        <v>218</v>
      </c>
      <c r="B74" s="1">
        <v>1019497.21</v>
      </c>
      <c r="C74" s="1">
        <v>76983.94</v>
      </c>
      <c r="D74" s="1">
        <v>17326.14</v>
      </c>
      <c r="E74" s="1">
        <v>62363</v>
      </c>
      <c r="F74" s="6">
        <v>1.2344489521030098</v>
      </c>
      <c r="G74" t="s">
        <v>117</v>
      </c>
      <c r="H74" t="s">
        <v>121</v>
      </c>
      <c r="I74" t="s">
        <v>219</v>
      </c>
      <c r="J74" s="1">
        <v>16.347789715055402</v>
      </c>
      <c r="K74" s="1">
        <v>0</v>
      </c>
      <c r="L74" s="2">
        <v>0</v>
      </c>
      <c r="M74">
        <v>0.81</v>
      </c>
      <c r="N74">
        <v>1.21</v>
      </c>
      <c r="O74">
        <v>1.59</v>
      </c>
    </row>
    <row r="75" spans="1:15" ht="16" x14ac:dyDescent="0.2">
      <c r="A75" s="3" t="s">
        <v>61</v>
      </c>
      <c r="B75" s="1">
        <v>985307.69000000006</v>
      </c>
      <c r="C75" s="1">
        <v>85202.51</v>
      </c>
      <c r="D75" s="1">
        <v>17723.2</v>
      </c>
      <c r="E75" s="1">
        <v>75345</v>
      </c>
      <c r="F75" s="6">
        <v>1.1308316411175259</v>
      </c>
      <c r="G75" t="s">
        <v>117</v>
      </c>
      <c r="H75" t="s">
        <v>131</v>
      </c>
      <c r="I75" t="s">
        <v>230</v>
      </c>
      <c r="J75" s="1">
        <v>13.077280376932777</v>
      </c>
      <c r="K75" s="1">
        <v>0</v>
      </c>
      <c r="L75" s="2">
        <v>0</v>
      </c>
      <c r="M75">
        <v>0.88</v>
      </c>
      <c r="N75">
        <v>0.87</v>
      </c>
      <c r="O75">
        <v>1.53</v>
      </c>
    </row>
    <row r="76" spans="1:15" ht="16" x14ac:dyDescent="0.2">
      <c r="A76" s="3" t="s">
        <v>216</v>
      </c>
      <c r="B76" s="1">
        <v>905694.84</v>
      </c>
      <c r="C76" s="1">
        <v>74187.72</v>
      </c>
      <c r="D76" s="1">
        <v>20052.830000000002</v>
      </c>
      <c r="E76" s="1">
        <v>60085</v>
      </c>
      <c r="F76" s="6">
        <v>1.2347128235000415</v>
      </c>
      <c r="G76" t="s">
        <v>117</v>
      </c>
      <c r="H76" t="s">
        <v>119</v>
      </c>
      <c r="I76" t="s">
        <v>217</v>
      </c>
      <c r="J76" s="1">
        <v>15.073559790297079</v>
      </c>
      <c r="K76" s="1">
        <v>0</v>
      </c>
      <c r="L76" s="2">
        <v>0</v>
      </c>
      <c r="M76">
        <v>0.11</v>
      </c>
      <c r="N76">
        <v>1.79</v>
      </c>
      <c r="O76">
        <v>1.71</v>
      </c>
    </row>
    <row r="77" spans="1:15" ht="16" x14ac:dyDescent="0.2">
      <c r="A77" s="3" t="s">
        <v>63</v>
      </c>
      <c r="B77" s="1">
        <v>875194.85</v>
      </c>
      <c r="C77" s="1">
        <v>58000.55</v>
      </c>
      <c r="D77" s="1">
        <v>14056.74</v>
      </c>
      <c r="E77" s="1">
        <v>48240</v>
      </c>
      <c r="F77" s="6">
        <v>1.2023331260364842</v>
      </c>
      <c r="G77" t="s">
        <v>117</v>
      </c>
      <c r="H77" t="s">
        <v>132</v>
      </c>
      <c r="I77" t="s">
        <v>222</v>
      </c>
      <c r="J77" s="1">
        <v>18.142513474295189</v>
      </c>
      <c r="K77" s="1">
        <v>0</v>
      </c>
      <c r="L77" s="2">
        <v>0</v>
      </c>
      <c r="M77">
        <v>0.89</v>
      </c>
      <c r="N77">
        <v>0.8</v>
      </c>
      <c r="O77" t="s">
        <v>544</v>
      </c>
    </row>
    <row r="78" spans="1:15" ht="16" x14ac:dyDescent="0.2">
      <c r="A78" s="3" t="s">
        <v>226</v>
      </c>
      <c r="B78" s="1">
        <v>836339.64</v>
      </c>
      <c r="C78" s="1">
        <v>55398.69</v>
      </c>
      <c r="D78" s="1">
        <v>19177.18</v>
      </c>
      <c r="E78" s="1">
        <v>47716</v>
      </c>
      <c r="F78" s="6">
        <v>1.1610086763349821</v>
      </c>
      <c r="G78" t="s">
        <v>117</v>
      </c>
      <c r="H78" t="s">
        <v>120</v>
      </c>
      <c r="I78" t="s">
        <v>227</v>
      </c>
      <c r="J78" s="1">
        <v>17.527446558806272</v>
      </c>
      <c r="K78" s="1">
        <v>0</v>
      </c>
      <c r="L78" s="2">
        <v>0</v>
      </c>
      <c r="M78">
        <v>0.62</v>
      </c>
      <c r="N78">
        <v>0.84</v>
      </c>
      <c r="O78">
        <v>0.87</v>
      </c>
    </row>
    <row r="79" spans="1:15" ht="16" x14ac:dyDescent="0.2">
      <c r="A79" s="3" t="s">
        <v>104</v>
      </c>
      <c r="B79" s="1">
        <v>2148753.5299999998</v>
      </c>
      <c r="C79" s="1">
        <v>123728.63</v>
      </c>
      <c r="D79" s="1">
        <v>47265.8</v>
      </c>
      <c r="E79" s="1">
        <v>135369</v>
      </c>
      <c r="F79" s="6">
        <v>0.91401007616219376</v>
      </c>
      <c r="G79" t="s">
        <v>117</v>
      </c>
      <c r="H79" t="s">
        <v>132</v>
      </c>
      <c r="I79" t="s">
        <v>185</v>
      </c>
      <c r="J79" s="1">
        <v>15.873305779018828</v>
      </c>
      <c r="K79" s="1">
        <v>-363.99693099999814</v>
      </c>
      <c r="L79" s="2">
        <v>2.9418973684586834E-3</v>
      </c>
      <c r="M79">
        <v>0.24</v>
      </c>
      <c r="N79">
        <v>3.01</v>
      </c>
      <c r="O79">
        <v>2.39</v>
      </c>
    </row>
    <row r="80" spans="1:15" ht="16" x14ac:dyDescent="0.2">
      <c r="A80" s="3" t="s">
        <v>67</v>
      </c>
      <c r="B80" s="1">
        <v>1230303.6000000001</v>
      </c>
      <c r="C80" s="1">
        <v>84138.18</v>
      </c>
      <c r="D80" s="1">
        <v>21050.560000000001</v>
      </c>
      <c r="E80" s="1">
        <v>76828</v>
      </c>
      <c r="F80" s="6">
        <v>1.0951499453324307</v>
      </c>
      <c r="G80" t="s">
        <v>117</v>
      </c>
      <c r="H80" t="s">
        <v>126</v>
      </c>
      <c r="I80" t="s">
        <v>237</v>
      </c>
      <c r="J80" s="1">
        <v>16.013739782371012</v>
      </c>
      <c r="K80" s="1">
        <v>-532.19175600001154</v>
      </c>
      <c r="L80" s="2">
        <v>6.3252111704818377E-3</v>
      </c>
      <c r="M80">
        <v>0.82</v>
      </c>
      <c r="N80">
        <v>1.68</v>
      </c>
      <c r="O80">
        <v>1.74</v>
      </c>
    </row>
    <row r="81" spans="1:15" ht="16" x14ac:dyDescent="0.2">
      <c r="A81" s="3" t="s">
        <v>60</v>
      </c>
      <c r="B81" s="1">
        <v>1116372.77</v>
      </c>
      <c r="C81" s="1">
        <v>82399.320000000007</v>
      </c>
      <c r="D81" s="1">
        <v>27481.41</v>
      </c>
      <c r="E81" s="1">
        <v>75622</v>
      </c>
      <c r="F81" s="6">
        <v>1.0896210097590648</v>
      </c>
      <c r="G81" t="s">
        <v>117</v>
      </c>
      <c r="H81" t="s">
        <v>121</v>
      </c>
      <c r="I81" t="s">
        <v>238</v>
      </c>
      <c r="J81" s="1">
        <v>14.762539604876888</v>
      </c>
      <c r="K81" s="1">
        <v>-941.94689399999663</v>
      </c>
      <c r="L81" s="2">
        <v>1.1431488682188112E-2</v>
      </c>
      <c r="M81">
        <v>0.98</v>
      </c>
      <c r="N81">
        <v>0.89</v>
      </c>
      <c r="O81">
        <v>1.86</v>
      </c>
    </row>
    <row r="82" spans="1:15" ht="16" x14ac:dyDescent="0.2">
      <c r="A82" s="3" t="s">
        <v>105</v>
      </c>
      <c r="B82" s="1">
        <v>1570904.76</v>
      </c>
      <c r="C82" s="1">
        <v>106195.04000000001</v>
      </c>
      <c r="D82" s="1">
        <v>26354.829999999998</v>
      </c>
      <c r="E82" s="1">
        <v>117459</v>
      </c>
      <c r="F82" s="6">
        <v>0.90410304872338443</v>
      </c>
      <c r="G82" t="s">
        <v>117</v>
      </c>
      <c r="H82" t="s">
        <v>128</v>
      </c>
      <c r="I82" t="s">
        <v>187</v>
      </c>
      <c r="J82" s="1">
        <v>13.374068909151278</v>
      </c>
      <c r="K82" s="1">
        <v>-1479.5078409999933</v>
      </c>
      <c r="L82" s="2">
        <v>1.3931986286741764E-2</v>
      </c>
      <c r="M82">
        <v>0.81</v>
      </c>
      <c r="N82">
        <v>2.66</v>
      </c>
      <c r="O82">
        <v>1.88</v>
      </c>
    </row>
    <row r="83" spans="1:15" ht="16" x14ac:dyDescent="0.2">
      <c r="A83" s="3" t="s">
        <v>106</v>
      </c>
      <c r="B83" s="1">
        <v>1556934</v>
      </c>
      <c r="C83" s="1">
        <v>91212.33</v>
      </c>
      <c r="D83" s="1">
        <v>32412.420000000002</v>
      </c>
      <c r="E83" s="1">
        <v>101242</v>
      </c>
      <c r="F83" s="6">
        <v>0.90093370340372569</v>
      </c>
      <c r="G83" t="s">
        <v>117</v>
      </c>
      <c r="H83" t="s">
        <v>129</v>
      </c>
      <c r="I83" t="s">
        <v>188</v>
      </c>
      <c r="J83" s="1">
        <v>15.37834100472136</v>
      </c>
      <c r="K83" s="1">
        <v>-1596.1101580000075</v>
      </c>
      <c r="L83" s="2">
        <v>1.7498842075408087E-2</v>
      </c>
      <c r="M83">
        <v>0.91</v>
      </c>
      <c r="N83">
        <v>1.68</v>
      </c>
      <c r="O83">
        <v>1.68</v>
      </c>
    </row>
    <row r="84" spans="1:15" ht="16" x14ac:dyDescent="0.2">
      <c r="A84" s="3" t="s">
        <v>41</v>
      </c>
      <c r="B84" s="1">
        <v>2247321.16</v>
      </c>
      <c r="C84" s="1">
        <v>126149.9</v>
      </c>
      <c r="D84" s="1">
        <v>33412.9</v>
      </c>
      <c r="E84" s="1">
        <v>139377</v>
      </c>
      <c r="F84" s="6">
        <v>0.90509840217539472</v>
      </c>
      <c r="G84" t="s">
        <v>117</v>
      </c>
      <c r="H84" t="s">
        <v>128</v>
      </c>
      <c r="I84" t="s">
        <v>186</v>
      </c>
      <c r="J84" s="1">
        <v>16.124046004721009</v>
      </c>
      <c r="K84" s="1">
        <v>-1616.8565230000156</v>
      </c>
      <c r="L84" s="2">
        <v>1.2816946529486077E-2</v>
      </c>
      <c r="M84">
        <v>0.86</v>
      </c>
      <c r="N84">
        <v>2.97</v>
      </c>
      <c r="O84">
        <v>3.25</v>
      </c>
    </row>
    <row r="85" spans="1:15" ht="16" x14ac:dyDescent="0.2">
      <c r="A85" s="3" t="s">
        <v>107</v>
      </c>
      <c r="B85" s="1">
        <v>1600858.13</v>
      </c>
      <c r="C85" s="1">
        <v>104748.63</v>
      </c>
      <c r="D85" s="1">
        <v>26467.17</v>
      </c>
      <c r="E85" s="1">
        <v>116283</v>
      </c>
      <c r="F85" s="6">
        <v>0.90080777069735052</v>
      </c>
      <c r="G85" t="s">
        <v>117</v>
      </c>
      <c r="H85" t="s">
        <v>130</v>
      </c>
      <c r="I85" t="s">
        <v>189</v>
      </c>
      <c r="J85" s="1">
        <v>13.766914596286645</v>
      </c>
      <c r="K85" s="1">
        <v>-1847.8798169999945</v>
      </c>
      <c r="L85" s="2">
        <v>1.7641088165067119E-2</v>
      </c>
      <c r="M85">
        <v>0.84</v>
      </c>
      <c r="N85">
        <v>1.83</v>
      </c>
      <c r="O85">
        <v>1.1200000000000001</v>
      </c>
    </row>
    <row r="86" spans="1:15" ht="16" x14ac:dyDescent="0.2">
      <c r="A86" s="3" t="s">
        <v>108</v>
      </c>
      <c r="B86" s="1">
        <v>1931775.48</v>
      </c>
      <c r="C86" s="1">
        <v>115313.45</v>
      </c>
      <c r="D86" s="1">
        <v>30462.85</v>
      </c>
      <c r="E86" s="1">
        <v>128303</v>
      </c>
      <c r="F86" s="6">
        <v>0.89875879753396259</v>
      </c>
      <c r="G86" t="s">
        <v>117</v>
      </c>
      <c r="H86" t="s">
        <v>125</v>
      </c>
      <c r="I86" t="s">
        <v>190</v>
      </c>
      <c r="J86" s="1">
        <v>15.056354722804612</v>
      </c>
      <c r="K86" s="1">
        <v>-2301.7817970000024</v>
      </c>
      <c r="L86" s="2">
        <v>1.9961086907034718E-2</v>
      </c>
      <c r="M86">
        <v>0.82</v>
      </c>
      <c r="N86">
        <v>1.55</v>
      </c>
      <c r="O86">
        <v>2.44</v>
      </c>
    </row>
    <row r="87" spans="1:15" ht="16" x14ac:dyDescent="0.2">
      <c r="A87" s="3" t="s">
        <v>59</v>
      </c>
      <c r="B87" s="1">
        <v>2275797.1</v>
      </c>
      <c r="C87" s="1">
        <v>127952.19</v>
      </c>
      <c r="D87" s="1">
        <v>44985.279999999999</v>
      </c>
      <c r="E87" s="1">
        <v>142402</v>
      </c>
      <c r="F87" s="6">
        <v>0.89852804033651212</v>
      </c>
      <c r="G87" t="s">
        <v>117</v>
      </c>
      <c r="H87" t="s">
        <v>132</v>
      </c>
      <c r="I87" t="s">
        <v>191</v>
      </c>
      <c r="J87" s="1">
        <v>15.981496748641172</v>
      </c>
      <c r="K87" s="1">
        <v>-2587.5809980000063</v>
      </c>
      <c r="L87" s="2">
        <v>2.0223030164626381E-2</v>
      </c>
      <c r="M87">
        <v>0.94</v>
      </c>
      <c r="N87">
        <v>2.62</v>
      </c>
      <c r="O87">
        <v>2.41</v>
      </c>
    </row>
    <row r="88" spans="1:15" ht="16" x14ac:dyDescent="0.2">
      <c r="A88" s="3" t="s">
        <v>109</v>
      </c>
      <c r="B88" s="1">
        <v>2614515.11</v>
      </c>
      <c r="C88" s="1">
        <v>139653.01999999999</v>
      </c>
      <c r="D88" s="1">
        <v>42553.279999999999</v>
      </c>
      <c r="E88" s="1">
        <v>155649</v>
      </c>
      <c r="F88" s="6">
        <v>0.89723043514574452</v>
      </c>
      <c r="G88" t="s">
        <v>117</v>
      </c>
      <c r="H88" t="s">
        <v>121</v>
      </c>
      <c r="I88" t="s">
        <v>192</v>
      </c>
      <c r="J88" s="1">
        <v>16.797506633515152</v>
      </c>
      <c r="K88" s="1">
        <v>-3030.2626510000177</v>
      </c>
      <c r="L88" s="2">
        <v>2.1698511432119535E-2</v>
      </c>
      <c r="M88">
        <v>0.74</v>
      </c>
      <c r="N88">
        <v>2.9</v>
      </c>
      <c r="O88">
        <v>3.29</v>
      </c>
    </row>
    <row r="89" spans="1:15" ht="16" x14ac:dyDescent="0.2">
      <c r="A89" s="3" t="s">
        <v>110</v>
      </c>
      <c r="B89" s="1">
        <v>2342660.8199999998</v>
      </c>
      <c r="C89" s="1">
        <v>127639.3</v>
      </c>
      <c r="D89" s="1">
        <v>50915.9</v>
      </c>
      <c r="E89" s="1">
        <v>142653</v>
      </c>
      <c r="F89" s="6">
        <v>0.89475370304164659</v>
      </c>
      <c r="G89" t="s">
        <v>117</v>
      </c>
      <c r="H89" t="s">
        <v>122</v>
      </c>
      <c r="I89" t="s">
        <v>193</v>
      </c>
      <c r="J89" s="1">
        <v>16.422092910769489</v>
      </c>
      <c r="K89" s="1">
        <v>-3130.5624469999952</v>
      </c>
      <c r="L89" s="2">
        <v>2.452663440648762E-2</v>
      </c>
      <c r="M89">
        <v>0.92</v>
      </c>
      <c r="N89">
        <v>2.97</v>
      </c>
      <c r="O89">
        <v>1.99</v>
      </c>
    </row>
    <row r="90" spans="1:15" ht="16" x14ac:dyDescent="0.2">
      <c r="A90" s="3" t="s">
        <v>239</v>
      </c>
      <c r="B90" s="1">
        <v>1244627.75</v>
      </c>
      <c r="C90" s="1">
        <v>97506.1</v>
      </c>
      <c r="D90" s="1">
        <v>28711.57</v>
      </c>
      <c r="E90" s="1">
        <v>92898</v>
      </c>
      <c r="F90" s="6">
        <v>1.0496038666063856</v>
      </c>
      <c r="G90" t="s">
        <v>117</v>
      </c>
      <c r="H90" t="s">
        <v>130</v>
      </c>
      <c r="I90" t="s">
        <v>240</v>
      </c>
      <c r="J90" s="1">
        <v>13.397788434627225</v>
      </c>
      <c r="K90" s="1">
        <v>-4874.6491459999879</v>
      </c>
      <c r="L90" s="2">
        <v>4.999327371313167E-2</v>
      </c>
      <c r="M90">
        <v>0.85</v>
      </c>
      <c r="N90">
        <v>1.8</v>
      </c>
      <c r="O90">
        <v>2.4900000000000002</v>
      </c>
    </row>
    <row r="91" spans="1:15" ht="16" x14ac:dyDescent="0.2">
      <c r="A91" s="3" t="s">
        <v>241</v>
      </c>
      <c r="B91" s="1">
        <v>1076300.49</v>
      </c>
      <c r="C91" s="1">
        <v>87223.61</v>
      </c>
      <c r="D91" s="1">
        <v>13397.91</v>
      </c>
      <c r="E91" s="1">
        <v>84596</v>
      </c>
      <c r="F91" s="6">
        <v>1.0310606884486264</v>
      </c>
      <c r="G91" t="s">
        <v>117</v>
      </c>
      <c r="H91" t="s">
        <v>119</v>
      </c>
      <c r="I91" t="s">
        <v>242</v>
      </c>
      <c r="J91" s="1">
        <v>12.722829566409759</v>
      </c>
      <c r="K91" s="1">
        <v>-6007.695891999997</v>
      </c>
      <c r="L91" s="2">
        <v>6.8876946184639645E-2</v>
      </c>
      <c r="M91">
        <v>0.86</v>
      </c>
      <c r="N91" t="s">
        <v>544</v>
      </c>
      <c r="O91">
        <v>2.64</v>
      </c>
    </row>
    <row r="92" spans="1:15" ht="16" x14ac:dyDescent="0.2">
      <c r="A92" s="3" t="s">
        <v>111</v>
      </c>
      <c r="B92" s="1">
        <v>1493678.38</v>
      </c>
      <c r="C92" s="1">
        <v>87449.279999999999</v>
      </c>
      <c r="D92" s="1">
        <v>26488.510000000002</v>
      </c>
      <c r="E92" s="1">
        <v>102888</v>
      </c>
      <c r="F92" s="6">
        <v>0.84994634942850478</v>
      </c>
      <c r="G92" t="s">
        <v>117</v>
      </c>
      <c r="H92" t="s">
        <v>131</v>
      </c>
      <c r="I92" t="s">
        <v>197</v>
      </c>
      <c r="J92" s="1">
        <v>14.51751788352383</v>
      </c>
      <c r="K92" s="1">
        <v>-6868.0467120000048</v>
      </c>
      <c r="L92" s="2">
        <v>7.8537487238316939E-2</v>
      </c>
      <c r="M92">
        <v>0.87</v>
      </c>
      <c r="N92">
        <v>1.68</v>
      </c>
      <c r="O92">
        <v>1.8</v>
      </c>
    </row>
    <row r="93" spans="1:15" ht="16" x14ac:dyDescent="0.2">
      <c r="A93" s="3" t="s">
        <v>21</v>
      </c>
      <c r="B93" s="1">
        <v>1986298.47</v>
      </c>
      <c r="C93" s="1">
        <v>109876.76</v>
      </c>
      <c r="D93" s="1">
        <v>30328.57</v>
      </c>
      <c r="E93" s="1">
        <v>128266</v>
      </c>
      <c r="F93" s="6">
        <v>0.85663199912681454</v>
      </c>
      <c r="G93" t="s">
        <v>117</v>
      </c>
      <c r="H93" t="s">
        <v>128</v>
      </c>
      <c r="I93" t="s">
        <v>195</v>
      </c>
      <c r="J93" s="1">
        <v>15.485775419830665</v>
      </c>
      <c r="K93" s="1">
        <v>-7704.5539340000123</v>
      </c>
      <c r="L93" s="2">
        <v>7.0119959252529951E-2</v>
      </c>
      <c r="M93">
        <v>0.82</v>
      </c>
      <c r="N93">
        <v>2.5499999999999998</v>
      </c>
      <c r="O93">
        <v>1.51</v>
      </c>
    </row>
    <row r="94" spans="1:15" ht="16" x14ac:dyDescent="0.2">
      <c r="A94" s="3" t="s">
        <v>245</v>
      </c>
      <c r="B94" s="1">
        <v>1111456.1400000001</v>
      </c>
      <c r="C94" s="1">
        <v>79166.67</v>
      </c>
      <c r="D94" s="1">
        <v>19851.71</v>
      </c>
      <c r="E94" s="1">
        <v>79276</v>
      </c>
      <c r="F94" s="6">
        <v>0.99862089409152832</v>
      </c>
      <c r="G94" t="s">
        <v>117</v>
      </c>
      <c r="H94" t="s">
        <v>132</v>
      </c>
      <c r="I94" t="s">
        <v>246</v>
      </c>
      <c r="J94" s="1">
        <v>14.020083505726829</v>
      </c>
      <c r="K94" s="1">
        <v>-8201.5862519999991</v>
      </c>
      <c r="L94" s="2">
        <v>0.10359897987372715</v>
      </c>
      <c r="M94">
        <v>0.88</v>
      </c>
      <c r="N94">
        <v>0.22</v>
      </c>
      <c r="O94">
        <v>1.63</v>
      </c>
    </row>
    <row r="95" spans="1:15" ht="16" x14ac:dyDescent="0.2">
      <c r="A95" s="3" t="s">
        <v>28</v>
      </c>
      <c r="B95" s="1">
        <v>2572014.98</v>
      </c>
      <c r="C95" s="1">
        <v>131546.51</v>
      </c>
      <c r="D95" s="1">
        <v>45377.42</v>
      </c>
      <c r="E95" s="1">
        <v>152541</v>
      </c>
      <c r="F95" s="6">
        <v>0.86236821575838629</v>
      </c>
      <c r="G95" t="s">
        <v>117</v>
      </c>
      <c r="H95" t="s">
        <v>126</v>
      </c>
      <c r="I95" t="s">
        <v>194</v>
      </c>
      <c r="J95" s="1">
        <v>16.861138841360685</v>
      </c>
      <c r="K95" s="1">
        <v>-8287.6721590000034</v>
      </c>
      <c r="L95" s="2">
        <v>6.3001839873973106E-2</v>
      </c>
      <c r="M95">
        <v>0.91</v>
      </c>
      <c r="N95">
        <v>3.53</v>
      </c>
      <c r="O95">
        <v>2.63</v>
      </c>
    </row>
    <row r="96" spans="1:15" ht="16" x14ac:dyDescent="0.2">
      <c r="A96" s="3" t="s">
        <v>243</v>
      </c>
      <c r="B96" s="1">
        <v>1172255.6000000001</v>
      </c>
      <c r="C96" s="1">
        <v>84807.6</v>
      </c>
      <c r="D96" s="1">
        <v>17725.21</v>
      </c>
      <c r="E96" s="1">
        <v>84904</v>
      </c>
      <c r="F96" s="6">
        <v>0.99886460001884492</v>
      </c>
      <c r="G96" t="s">
        <v>116</v>
      </c>
      <c r="H96" t="s">
        <v>130</v>
      </c>
      <c r="I96" t="s">
        <v>244</v>
      </c>
      <c r="J96" s="1">
        <v>13.806835955903139</v>
      </c>
      <c r="K96" s="1">
        <v>-8763.1456079999898</v>
      </c>
      <c r="L96" s="2">
        <v>0.10332972054391339</v>
      </c>
      <c r="M96">
        <v>0.87</v>
      </c>
      <c r="N96">
        <v>1.08</v>
      </c>
      <c r="O96">
        <v>1.76</v>
      </c>
    </row>
    <row r="97" spans="1:15" ht="16" x14ac:dyDescent="0.2">
      <c r="A97" s="3" t="s">
        <v>65</v>
      </c>
      <c r="B97" s="1">
        <v>2247429.14</v>
      </c>
      <c r="C97" s="1">
        <v>136599.97</v>
      </c>
      <c r="D97" s="1">
        <v>39996.58</v>
      </c>
      <c r="E97" s="1">
        <v>159593</v>
      </c>
      <c r="F97" s="6">
        <v>0.85592707700212411</v>
      </c>
      <c r="G97" t="s">
        <v>117</v>
      </c>
      <c r="H97" t="s">
        <v>131</v>
      </c>
      <c r="I97" t="s">
        <v>196</v>
      </c>
      <c r="J97" s="1">
        <v>14.08225385825193</v>
      </c>
      <c r="K97" s="1">
        <v>-9698.7735070000126</v>
      </c>
      <c r="L97" s="2">
        <v>7.1001285776270753E-2</v>
      </c>
      <c r="M97">
        <v>0.86</v>
      </c>
      <c r="N97">
        <v>3.55</v>
      </c>
      <c r="O97">
        <v>3.31</v>
      </c>
    </row>
    <row r="98" spans="1:15" ht="16" x14ac:dyDescent="0.2">
      <c r="A98" s="3" t="s">
        <v>112</v>
      </c>
      <c r="B98" s="1">
        <v>1486094.75</v>
      </c>
      <c r="C98" s="1">
        <v>86133.28</v>
      </c>
      <c r="D98" s="1">
        <v>27087.040000000001</v>
      </c>
      <c r="E98" s="1">
        <v>106467</v>
      </c>
      <c r="F98" s="6">
        <v>0.80901387284322845</v>
      </c>
      <c r="G98" t="s">
        <v>117</v>
      </c>
      <c r="H98" t="s">
        <v>132</v>
      </c>
      <c r="I98" t="s">
        <v>199</v>
      </c>
      <c r="J98" s="1">
        <v>13.958266411188443</v>
      </c>
      <c r="K98" s="1">
        <v>-11464.912433000001</v>
      </c>
      <c r="L98" s="2">
        <v>0.13310665091356094</v>
      </c>
      <c r="M98">
        <v>0.93</v>
      </c>
      <c r="N98">
        <v>0.82</v>
      </c>
      <c r="O98">
        <v>1.83</v>
      </c>
    </row>
    <row r="99" spans="1:15" ht="16" x14ac:dyDescent="0.2">
      <c r="A99" s="3" t="s">
        <v>53</v>
      </c>
      <c r="B99" s="1">
        <v>1674055.72</v>
      </c>
      <c r="C99" s="1">
        <v>99569.29</v>
      </c>
      <c r="D99" s="1">
        <v>27900.880000000001</v>
      </c>
      <c r="E99" s="1">
        <v>121395</v>
      </c>
      <c r="F99" s="6">
        <v>0.8202091519420075</v>
      </c>
      <c r="G99" t="s">
        <v>117</v>
      </c>
      <c r="H99" t="s">
        <v>132</v>
      </c>
      <c r="I99" t="s">
        <v>198</v>
      </c>
      <c r="J99" s="1">
        <v>13.790153795461098</v>
      </c>
      <c r="K99" s="1">
        <v>-11713.385105000005</v>
      </c>
      <c r="L99" s="2">
        <v>0.11764054062251529</v>
      </c>
      <c r="M99">
        <v>0.84</v>
      </c>
      <c r="N99">
        <v>1.17</v>
      </c>
      <c r="O99">
        <v>2.09</v>
      </c>
    </row>
    <row r="100" spans="1:15" ht="16" x14ac:dyDescent="0.2">
      <c r="A100" s="3" t="s">
        <v>114</v>
      </c>
      <c r="B100" s="1">
        <v>1514783</v>
      </c>
      <c r="C100" s="1">
        <v>95565.39</v>
      </c>
      <c r="D100" s="1">
        <v>28253.96</v>
      </c>
      <c r="E100" s="1">
        <v>120111</v>
      </c>
      <c r="F100" s="6">
        <v>0.79564228089017663</v>
      </c>
      <c r="G100" t="s">
        <v>117</v>
      </c>
      <c r="H100" t="s">
        <v>126</v>
      </c>
      <c r="I100" t="s">
        <v>201</v>
      </c>
      <c r="J100" s="1">
        <v>12.611526005111939</v>
      </c>
      <c r="K100" s="1">
        <v>-14540.243589</v>
      </c>
      <c r="L100" s="2">
        <v>0.15214968085203232</v>
      </c>
      <c r="M100">
        <v>0.9</v>
      </c>
      <c r="N100">
        <v>1.65</v>
      </c>
      <c r="O100">
        <v>2.5299999999999998</v>
      </c>
    </row>
    <row r="101" spans="1:15" ht="16" x14ac:dyDescent="0.2">
      <c r="A101" s="3" t="s">
        <v>113</v>
      </c>
      <c r="B101" s="1">
        <v>1970221.1400000001</v>
      </c>
      <c r="C101" s="1">
        <v>100617.92</v>
      </c>
      <c r="D101" s="1">
        <v>29807.71</v>
      </c>
      <c r="E101" s="1">
        <v>125934</v>
      </c>
      <c r="F101" s="6">
        <v>0.79897343052710146</v>
      </c>
      <c r="G101" t="s">
        <v>117</v>
      </c>
      <c r="H101" t="s">
        <v>118</v>
      </c>
      <c r="I101" t="s">
        <v>200</v>
      </c>
      <c r="J101" s="1">
        <v>15.644870646529135</v>
      </c>
      <c r="K101" s="1">
        <v>-14825.651866000011</v>
      </c>
      <c r="L101" s="2">
        <v>0.14734603802185547</v>
      </c>
      <c r="M101">
        <v>0.87</v>
      </c>
      <c r="N101">
        <v>1.97</v>
      </c>
      <c r="O101">
        <v>1.61</v>
      </c>
    </row>
    <row r="102" spans="1:15" ht="16" x14ac:dyDescent="0.2">
      <c r="A102" s="3" t="s">
        <v>115</v>
      </c>
      <c r="B102" s="1">
        <v>1531248.54</v>
      </c>
      <c r="C102" s="1">
        <v>82369.429999999993</v>
      </c>
      <c r="D102" s="1">
        <v>28275.96</v>
      </c>
      <c r="E102" s="1">
        <v>107758</v>
      </c>
      <c r="F102" s="6">
        <v>0.76439271330202851</v>
      </c>
      <c r="G102" t="s">
        <v>117</v>
      </c>
      <c r="H102" t="s">
        <v>129</v>
      </c>
      <c r="I102" t="s">
        <v>202</v>
      </c>
      <c r="J102" s="1">
        <v>14.210068301193415</v>
      </c>
      <c r="K102" s="1">
        <v>-16412.220842000017</v>
      </c>
      <c r="L102" s="2">
        <v>0.19925135868974714</v>
      </c>
      <c r="M102">
        <v>0.88</v>
      </c>
      <c r="N102">
        <v>1.79</v>
      </c>
      <c r="O102">
        <v>1.69</v>
      </c>
    </row>
    <row r="103" spans="1:15" ht="16" x14ac:dyDescent="0.2">
      <c r="A103" s="3" t="s">
        <v>247</v>
      </c>
      <c r="B103" s="1">
        <v>1234302.8999999999</v>
      </c>
      <c r="C103" s="1">
        <v>83146.929999999993</v>
      </c>
      <c r="D103" s="1">
        <v>24750.97</v>
      </c>
      <c r="E103" s="1">
        <v>97737</v>
      </c>
      <c r="F103" s="6">
        <v>0.8507211189211864</v>
      </c>
      <c r="G103" t="s">
        <v>117</v>
      </c>
      <c r="H103" t="s">
        <v>129</v>
      </c>
      <c r="I103" t="s">
        <v>248</v>
      </c>
      <c r="J103" s="1">
        <v>12.628819177998096</v>
      </c>
      <c r="K103" s="1">
        <v>-24566.769749000003</v>
      </c>
      <c r="L103" s="2">
        <v>0.29546213851792247</v>
      </c>
      <c r="M103">
        <v>0.61</v>
      </c>
      <c r="N103">
        <v>1.85</v>
      </c>
      <c r="O103">
        <v>2.69</v>
      </c>
    </row>
    <row r="105" spans="1:15" ht="19" x14ac:dyDescent="0.25">
      <c r="A105" s="4" t="s">
        <v>539</v>
      </c>
    </row>
    <row r="107" spans="1:15" x14ac:dyDescent="0.2">
      <c r="A107" s="3" t="s">
        <v>0</v>
      </c>
      <c r="B107" s="3" t="s">
        <v>1</v>
      </c>
      <c r="C107" s="3" t="s">
        <v>2</v>
      </c>
      <c r="D107" s="3" t="s">
        <v>3</v>
      </c>
      <c r="E107" s="3" t="s">
        <v>4</v>
      </c>
      <c r="F107" s="3" t="s">
        <v>5</v>
      </c>
      <c r="G107" t="s">
        <v>6</v>
      </c>
      <c r="H107" t="s">
        <v>7</v>
      </c>
      <c r="I107" t="s">
        <v>8</v>
      </c>
      <c r="J107" s="3" t="s">
        <v>9</v>
      </c>
      <c r="K107" t="s">
        <v>10</v>
      </c>
      <c r="L107" t="s">
        <v>11</v>
      </c>
      <c r="M107" s="7"/>
      <c r="N107" s="7"/>
      <c r="O107" s="7"/>
    </row>
    <row r="108" spans="1:15" ht="16" x14ac:dyDescent="0.2">
      <c r="A108" t="s">
        <v>249</v>
      </c>
      <c r="B108" s="1">
        <v>2936957.55</v>
      </c>
      <c r="C108" s="1">
        <v>64762.81</v>
      </c>
      <c r="D108" s="1">
        <v>16677.579999999998</v>
      </c>
      <c r="E108" s="1">
        <v>25229</v>
      </c>
      <c r="F108" s="6">
        <v>2.5669986919814498</v>
      </c>
      <c r="G108" t="s">
        <v>250</v>
      </c>
      <c r="H108" t="s">
        <v>122</v>
      </c>
      <c r="I108" t="s">
        <v>251</v>
      </c>
      <c r="J108" s="1">
        <v>116.41196836973323</v>
      </c>
      <c r="K108" s="1">
        <v>24552.325219999995</v>
      </c>
      <c r="L108" s="2">
        <v>0.37911148728722543</v>
      </c>
      <c r="M108">
        <v>0.79</v>
      </c>
      <c r="N108">
        <v>0.91</v>
      </c>
      <c r="O108">
        <v>1.74</v>
      </c>
    </row>
    <row r="109" spans="1:15" ht="16" x14ac:dyDescent="0.2">
      <c r="A109" t="s">
        <v>252</v>
      </c>
      <c r="B109" s="1">
        <v>1182587.02</v>
      </c>
      <c r="C109" s="1">
        <v>72999.88</v>
      </c>
      <c r="D109" s="1">
        <v>9792.14</v>
      </c>
      <c r="E109" s="1">
        <v>33042</v>
      </c>
      <c r="F109" s="6">
        <v>2.2093057320985414</v>
      </c>
      <c r="G109" t="s">
        <v>250</v>
      </c>
      <c r="H109" t="s">
        <v>121</v>
      </c>
      <c r="I109" t="s">
        <v>253</v>
      </c>
      <c r="J109" s="1">
        <v>35.790418860843772</v>
      </c>
      <c r="K109" s="1">
        <v>20336.879560000005</v>
      </c>
      <c r="L109" s="2">
        <v>0.27858784918550555</v>
      </c>
      <c r="M109">
        <v>0.8</v>
      </c>
      <c r="N109">
        <v>1.87</v>
      </c>
      <c r="O109" t="s">
        <v>544</v>
      </c>
    </row>
    <row r="110" spans="1:15" ht="16" x14ac:dyDescent="0.2">
      <c r="A110" t="s">
        <v>256</v>
      </c>
      <c r="B110" s="1">
        <v>2266336.2800000003</v>
      </c>
      <c r="C110" s="1">
        <v>114399.3</v>
      </c>
      <c r="D110" s="1">
        <v>14465.49</v>
      </c>
      <c r="E110" s="1">
        <v>60315</v>
      </c>
      <c r="F110" s="6">
        <v>1.8966973389704054</v>
      </c>
      <c r="G110" t="s">
        <v>250</v>
      </c>
      <c r="H110" t="s">
        <v>119</v>
      </c>
      <c r="I110" t="s">
        <v>257</v>
      </c>
      <c r="J110" s="1">
        <v>37.575002569841672</v>
      </c>
      <c r="K110" s="1">
        <v>18268.046699999999</v>
      </c>
      <c r="L110" s="2">
        <v>0.1596867000060315</v>
      </c>
      <c r="M110">
        <v>0.72</v>
      </c>
      <c r="N110">
        <v>3.44</v>
      </c>
      <c r="O110">
        <v>1.58</v>
      </c>
    </row>
    <row r="111" spans="1:15" ht="16" x14ac:dyDescent="0.2">
      <c r="A111" t="s">
        <v>310</v>
      </c>
      <c r="B111" s="1">
        <v>1092045.8</v>
      </c>
      <c r="C111" s="1">
        <v>72194.27</v>
      </c>
      <c r="D111" s="1">
        <v>18445.830000000002</v>
      </c>
      <c r="E111" s="1">
        <v>33200</v>
      </c>
      <c r="F111" s="6">
        <v>2.1745262048192773</v>
      </c>
      <c r="G111" t="s">
        <v>250</v>
      </c>
      <c r="H111" t="s">
        <v>121</v>
      </c>
      <c r="I111" t="s">
        <v>311</v>
      </c>
      <c r="J111" s="1">
        <v>32.892945783132532</v>
      </c>
      <c r="K111" s="1">
        <v>12249.014000000006</v>
      </c>
      <c r="L111" s="2">
        <v>0.16966739881156781</v>
      </c>
      <c r="M111">
        <v>0.87</v>
      </c>
      <c r="N111">
        <v>1.35</v>
      </c>
      <c r="O111">
        <v>0.59</v>
      </c>
    </row>
    <row r="112" spans="1:15" ht="16" x14ac:dyDescent="0.2">
      <c r="A112" t="s">
        <v>254</v>
      </c>
      <c r="B112" s="1">
        <v>1310210.55</v>
      </c>
      <c r="C112" s="1">
        <v>66371.95</v>
      </c>
      <c r="D112" s="1">
        <v>14316.4</v>
      </c>
      <c r="E112" s="1">
        <v>34700</v>
      </c>
      <c r="F112" s="6">
        <v>1.9127363112391931</v>
      </c>
      <c r="G112" t="s">
        <v>250</v>
      </c>
      <c r="H112" t="s">
        <v>206</v>
      </c>
      <c r="I112" t="s">
        <v>255</v>
      </c>
      <c r="J112" s="1">
        <v>37.758229106628242</v>
      </c>
      <c r="K112" s="1">
        <v>11066.395999999999</v>
      </c>
      <c r="L112" s="2">
        <v>0.16673302502035875</v>
      </c>
      <c r="M112">
        <v>0.85</v>
      </c>
      <c r="N112">
        <v>0.24</v>
      </c>
      <c r="O112">
        <v>3.17</v>
      </c>
    </row>
    <row r="113" spans="1:15" ht="16" x14ac:dyDescent="0.2">
      <c r="A113" t="s">
        <v>312</v>
      </c>
      <c r="B113" s="1">
        <v>768548.72</v>
      </c>
      <c r="C113" s="1">
        <v>66338.02</v>
      </c>
      <c r="D113" s="1">
        <v>14095.68</v>
      </c>
      <c r="E113" s="1">
        <v>30780</v>
      </c>
      <c r="F113" s="6">
        <v>2.1552313190383368</v>
      </c>
      <c r="G113" t="s">
        <v>250</v>
      </c>
      <c r="H113" t="s">
        <v>121</v>
      </c>
      <c r="I113" t="s">
        <v>313</v>
      </c>
      <c r="J113" s="1">
        <v>24.96909421702404</v>
      </c>
      <c r="K113" s="1">
        <v>10762.267600000006</v>
      </c>
      <c r="L113" s="2">
        <v>0.16223377785469034</v>
      </c>
      <c r="M113">
        <v>0.74</v>
      </c>
      <c r="N113">
        <v>0.85</v>
      </c>
      <c r="O113">
        <v>1.65</v>
      </c>
    </row>
    <row r="114" spans="1:15" ht="16" x14ac:dyDescent="0.2">
      <c r="A114" t="s">
        <v>259</v>
      </c>
      <c r="B114" s="1">
        <v>1269204.02</v>
      </c>
      <c r="C114" s="1">
        <v>89863.4</v>
      </c>
      <c r="D114" s="1">
        <v>20275.02</v>
      </c>
      <c r="E114" s="1">
        <v>51181</v>
      </c>
      <c r="F114" s="6">
        <v>1.7557960962075769</v>
      </c>
      <c r="G114" t="s">
        <v>250</v>
      </c>
      <c r="H114" t="s">
        <v>124</v>
      </c>
      <c r="I114" t="s">
        <v>260</v>
      </c>
      <c r="J114" s="1">
        <v>24.798343525917822</v>
      </c>
      <c r="K114" s="1">
        <v>8290.0985799999944</v>
      </c>
      <c r="L114" s="2">
        <v>9.2252224821228607E-2</v>
      </c>
      <c r="M114">
        <v>0.91</v>
      </c>
      <c r="N114">
        <v>1.69</v>
      </c>
      <c r="O114">
        <v>1.62</v>
      </c>
    </row>
    <row r="115" spans="1:15" ht="16" x14ac:dyDescent="0.2">
      <c r="A115" t="s">
        <v>27</v>
      </c>
      <c r="B115" s="1">
        <v>3139745.35</v>
      </c>
      <c r="C115" s="1">
        <v>76747.070000000007</v>
      </c>
      <c r="D115" s="1">
        <v>22495.77</v>
      </c>
      <c r="E115" s="1">
        <v>43228</v>
      </c>
      <c r="F115" s="6">
        <v>1.7754018228925699</v>
      </c>
      <c r="G115" t="s">
        <v>250</v>
      </c>
      <c r="H115" t="s">
        <v>123</v>
      </c>
      <c r="I115" t="s">
        <v>258</v>
      </c>
      <c r="J115" s="1">
        <v>72.632214074211163</v>
      </c>
      <c r="K115" s="1">
        <v>7849.4190400000098</v>
      </c>
      <c r="L115" s="2">
        <v>0.10227646527743676</v>
      </c>
      <c r="M115">
        <v>0.9</v>
      </c>
      <c r="N115">
        <v>1.6</v>
      </c>
      <c r="O115">
        <v>3.09</v>
      </c>
    </row>
    <row r="116" spans="1:15" ht="16" x14ac:dyDescent="0.2">
      <c r="A116" t="s">
        <v>52</v>
      </c>
      <c r="B116" s="1">
        <v>826292.73</v>
      </c>
      <c r="C116" s="1">
        <v>49662.04</v>
      </c>
      <c r="D116" s="1">
        <v>10977.67</v>
      </c>
      <c r="E116" s="1">
        <v>24891</v>
      </c>
      <c r="F116" s="6">
        <v>1.9951805873608934</v>
      </c>
      <c r="G116" t="s">
        <v>250</v>
      </c>
      <c r="H116" t="s">
        <v>128</v>
      </c>
      <c r="I116" t="s">
        <v>314</v>
      </c>
      <c r="J116" s="1">
        <v>33.196445703266242</v>
      </c>
      <c r="K116" s="1">
        <v>4719.3482199999989</v>
      </c>
      <c r="L116" s="2">
        <v>9.5029286352312531E-2</v>
      </c>
      <c r="M116">
        <v>0.1</v>
      </c>
      <c r="N116">
        <v>2.58</v>
      </c>
      <c r="O116" t="s">
        <v>544</v>
      </c>
    </row>
    <row r="117" spans="1:15" ht="16" x14ac:dyDescent="0.2">
      <c r="A117" t="s">
        <v>315</v>
      </c>
      <c r="B117" s="1">
        <v>911479.69</v>
      </c>
      <c r="C117" s="1">
        <v>73619.48</v>
      </c>
      <c r="D117" s="1">
        <v>12765.16</v>
      </c>
      <c r="E117" s="1">
        <v>39181</v>
      </c>
      <c r="F117" s="6">
        <v>1.8789586789515325</v>
      </c>
      <c r="G117" t="s">
        <v>250</v>
      </c>
      <c r="H117" t="s">
        <v>206</v>
      </c>
      <c r="I117" t="s">
        <v>316</v>
      </c>
      <c r="J117" s="1">
        <v>23.263308491360608</v>
      </c>
      <c r="K117" s="1">
        <v>2875.0500199999947</v>
      </c>
      <c r="L117" s="2">
        <v>3.9052843350700042E-2</v>
      </c>
      <c r="M117">
        <v>0.63</v>
      </c>
      <c r="N117">
        <v>1.73</v>
      </c>
      <c r="O117">
        <v>0.88</v>
      </c>
    </row>
    <row r="118" spans="1:15" ht="16" x14ac:dyDescent="0.2">
      <c r="A118" t="s">
        <v>261</v>
      </c>
      <c r="B118" s="1">
        <v>1488406.63</v>
      </c>
      <c r="C118" s="1">
        <v>75592.36</v>
      </c>
      <c r="D118" s="1">
        <v>17556.13</v>
      </c>
      <c r="E118" s="1">
        <v>46422</v>
      </c>
      <c r="F118" s="6">
        <v>1.6283736159579509</v>
      </c>
      <c r="G118" t="s">
        <v>250</v>
      </c>
      <c r="H118" t="s">
        <v>124</v>
      </c>
      <c r="I118" t="s">
        <v>262</v>
      </c>
      <c r="J118" s="1">
        <v>32.062527034595661</v>
      </c>
      <c r="K118" s="1">
        <v>1604.0479599999978</v>
      </c>
      <c r="L118" s="2">
        <v>2.1219710034188613E-2</v>
      </c>
      <c r="M118">
        <v>0.78</v>
      </c>
      <c r="N118">
        <v>1.64</v>
      </c>
      <c r="O118" t="s">
        <v>544</v>
      </c>
    </row>
    <row r="119" spans="1:15" ht="16" x14ac:dyDescent="0.2">
      <c r="A119" t="s">
        <v>317</v>
      </c>
      <c r="B119" s="1">
        <v>714215.12</v>
      </c>
      <c r="C119" s="1">
        <v>54032.06</v>
      </c>
      <c r="D119" s="1">
        <v>13900.2</v>
      </c>
      <c r="E119" s="1">
        <v>29299</v>
      </c>
      <c r="F119" s="6">
        <v>1.8441605515546604</v>
      </c>
      <c r="G119" t="s">
        <v>250</v>
      </c>
      <c r="H119" t="s">
        <v>130</v>
      </c>
      <c r="I119" t="s">
        <v>318</v>
      </c>
      <c r="J119" s="1">
        <v>24.37677463394655</v>
      </c>
      <c r="K119" s="1">
        <v>1130.3715799999964</v>
      </c>
      <c r="L119" s="2">
        <v>2.0920386526073528E-2</v>
      </c>
      <c r="M119">
        <v>0.28000000000000003</v>
      </c>
      <c r="N119">
        <v>1.0900000000000001</v>
      </c>
      <c r="O119">
        <v>1.67</v>
      </c>
    </row>
    <row r="120" spans="1:15" ht="16" x14ac:dyDescent="0.2">
      <c r="A120" t="s">
        <v>319</v>
      </c>
      <c r="B120" s="1">
        <v>868788.54</v>
      </c>
      <c r="C120" s="1">
        <v>61009.77</v>
      </c>
      <c r="D120" s="1">
        <v>10584.26</v>
      </c>
      <c r="E120" s="1">
        <v>33610</v>
      </c>
      <c r="F120" s="6">
        <v>1.8152267182386193</v>
      </c>
      <c r="G120" t="s">
        <v>250</v>
      </c>
      <c r="H120" t="s">
        <v>118</v>
      </c>
      <c r="I120" t="s">
        <v>320</v>
      </c>
      <c r="J120" s="1">
        <v>25.849108598631361</v>
      </c>
      <c r="K120" s="1">
        <v>324.22619999999432</v>
      </c>
      <c r="L120" s="2">
        <v>5.3143324421644983E-3</v>
      </c>
      <c r="M120">
        <v>0.45</v>
      </c>
      <c r="N120">
        <v>2.5499999999999998</v>
      </c>
      <c r="O120">
        <v>0</v>
      </c>
    </row>
    <row r="121" spans="1:15" ht="16" x14ac:dyDescent="0.2">
      <c r="A121" t="s">
        <v>263</v>
      </c>
      <c r="B121" s="1">
        <v>1900673.47</v>
      </c>
      <c r="C121" s="1">
        <v>83152.990000000005</v>
      </c>
      <c r="D121" s="1">
        <v>21597.71</v>
      </c>
      <c r="E121" s="1">
        <v>52026</v>
      </c>
      <c r="F121" s="6">
        <v>1.5982968131318958</v>
      </c>
      <c r="G121" t="s">
        <v>250</v>
      </c>
      <c r="H121" t="s">
        <v>125</v>
      </c>
      <c r="I121" t="s">
        <v>264</v>
      </c>
      <c r="J121" s="1">
        <v>36.533146311459653</v>
      </c>
      <c r="K121" s="1">
        <v>232.9106800000078</v>
      </c>
      <c r="L121" s="2">
        <v>2.8009898381285842E-3</v>
      </c>
      <c r="M121">
        <v>0.73</v>
      </c>
      <c r="N121">
        <v>1.22</v>
      </c>
      <c r="O121">
        <v>1.63</v>
      </c>
    </row>
    <row r="122" spans="1:15" ht="16" x14ac:dyDescent="0.2">
      <c r="A122" t="s">
        <v>265</v>
      </c>
      <c r="B122" s="1">
        <v>2499011.12</v>
      </c>
      <c r="C122" s="1">
        <v>124595.48</v>
      </c>
      <c r="D122" s="1">
        <v>23591.899999999998</v>
      </c>
      <c r="E122" s="1">
        <v>78174</v>
      </c>
      <c r="F122" s="6">
        <v>1.5938224985289227</v>
      </c>
      <c r="G122" t="s">
        <v>250</v>
      </c>
      <c r="H122" t="s">
        <v>124</v>
      </c>
      <c r="I122" t="s">
        <v>266</v>
      </c>
      <c r="J122" s="1">
        <v>31.96729245017525</v>
      </c>
      <c r="K122" s="1">
        <v>0.1953199999988775</v>
      </c>
      <c r="L122" s="2">
        <v>1.5676331115613304E-6</v>
      </c>
      <c r="M122">
        <v>0.71</v>
      </c>
      <c r="N122">
        <v>2.7</v>
      </c>
      <c r="O122">
        <v>2.62</v>
      </c>
    </row>
    <row r="123" spans="1:15" ht="16" x14ac:dyDescent="0.2">
      <c r="A123" t="s">
        <v>321</v>
      </c>
      <c r="B123" s="1">
        <v>792386.5</v>
      </c>
      <c r="C123" s="1">
        <v>50420.85</v>
      </c>
      <c r="D123" s="1">
        <v>15164.16</v>
      </c>
      <c r="E123" s="1">
        <v>27925</v>
      </c>
      <c r="F123" s="6">
        <v>1.8055810205908684</v>
      </c>
      <c r="G123" t="s">
        <v>250</v>
      </c>
      <c r="H123" t="s">
        <v>123</v>
      </c>
      <c r="I123" t="s">
        <v>322</v>
      </c>
      <c r="J123" s="1">
        <v>28.375523724261413</v>
      </c>
      <c r="K123" s="1">
        <v>2.8500000002401604E-2</v>
      </c>
      <c r="L123" s="2">
        <v>5.6524235514477849E-7</v>
      </c>
      <c r="M123">
        <v>0.89</v>
      </c>
      <c r="N123">
        <v>0.68</v>
      </c>
      <c r="O123">
        <v>0.85</v>
      </c>
    </row>
    <row r="124" spans="1:15" ht="16" x14ac:dyDescent="0.2">
      <c r="A124" t="s">
        <v>323</v>
      </c>
      <c r="B124" s="1">
        <v>1022071.71</v>
      </c>
      <c r="C124" s="1">
        <v>54952.72</v>
      </c>
      <c r="D124" s="1">
        <v>11494.03</v>
      </c>
      <c r="E124" s="1">
        <v>31583</v>
      </c>
      <c r="F124" s="6">
        <v>1.7399461735743913</v>
      </c>
      <c r="G124" t="s">
        <v>250</v>
      </c>
      <c r="H124" t="s">
        <v>128</v>
      </c>
      <c r="I124" t="s">
        <v>324</v>
      </c>
      <c r="J124" s="1">
        <v>32.361451097109203</v>
      </c>
      <c r="K124" s="1">
        <v>0</v>
      </c>
      <c r="L124" s="2">
        <v>0</v>
      </c>
      <c r="M124">
        <v>0.93</v>
      </c>
      <c r="N124">
        <v>0.84</v>
      </c>
      <c r="O124">
        <v>0.83</v>
      </c>
    </row>
    <row r="125" spans="1:15" ht="16" x14ac:dyDescent="0.2">
      <c r="A125" t="s">
        <v>325</v>
      </c>
      <c r="B125" s="1">
        <v>930323.66</v>
      </c>
      <c r="C125" s="1">
        <v>71537.759999999995</v>
      </c>
      <c r="D125" s="1">
        <v>14831.78</v>
      </c>
      <c r="E125" s="1">
        <v>41599</v>
      </c>
      <c r="F125" s="6">
        <v>1.719699031226712</v>
      </c>
      <c r="G125" t="s">
        <v>250</v>
      </c>
      <c r="H125" t="s">
        <v>122</v>
      </c>
      <c r="I125" t="s">
        <v>326</v>
      </c>
      <c r="J125" s="1">
        <v>22.364087117478785</v>
      </c>
      <c r="K125" s="1">
        <v>0</v>
      </c>
      <c r="L125" s="2">
        <v>0</v>
      </c>
      <c r="M125">
        <v>0.86</v>
      </c>
      <c r="N125">
        <v>0.84</v>
      </c>
      <c r="O125">
        <v>1.75</v>
      </c>
    </row>
    <row r="126" spans="1:15" ht="16" x14ac:dyDescent="0.2">
      <c r="A126" t="s">
        <v>327</v>
      </c>
      <c r="B126" s="1">
        <v>1011263.09</v>
      </c>
      <c r="C126" s="1">
        <v>65560.59</v>
      </c>
      <c r="D126" s="1">
        <v>19616.260000000002</v>
      </c>
      <c r="E126" s="1">
        <v>38152</v>
      </c>
      <c r="F126" s="6">
        <v>1.7184050639547075</v>
      </c>
      <c r="G126" t="s">
        <v>250</v>
      </c>
      <c r="H126" t="s">
        <v>130</v>
      </c>
      <c r="I126" t="s">
        <v>328</v>
      </c>
      <c r="J126" s="1">
        <v>26.506161931222479</v>
      </c>
      <c r="K126" s="1">
        <v>0</v>
      </c>
      <c r="L126" s="2">
        <v>0</v>
      </c>
      <c r="M126">
        <v>0.84</v>
      </c>
      <c r="N126">
        <v>0.89</v>
      </c>
      <c r="O126">
        <v>1.6</v>
      </c>
    </row>
    <row r="127" spans="1:15" ht="16" x14ac:dyDescent="0.2">
      <c r="A127" t="s">
        <v>329</v>
      </c>
      <c r="B127" s="1">
        <v>923887.45</v>
      </c>
      <c r="C127" s="1">
        <v>56349.75</v>
      </c>
      <c r="D127" s="1">
        <v>14391.16</v>
      </c>
      <c r="E127" s="1">
        <v>33610</v>
      </c>
      <c r="F127" s="6">
        <v>1.6765769116334424</v>
      </c>
      <c r="G127" t="s">
        <v>250</v>
      </c>
      <c r="H127" t="s">
        <v>120</v>
      </c>
      <c r="I127" t="s">
        <v>330</v>
      </c>
      <c r="J127" s="1">
        <v>27.488469205593571</v>
      </c>
      <c r="K127" s="1">
        <v>0</v>
      </c>
      <c r="L127" s="2">
        <v>0</v>
      </c>
      <c r="M127">
        <v>0.12</v>
      </c>
      <c r="N127">
        <v>2.5</v>
      </c>
      <c r="O127" t="s">
        <v>544</v>
      </c>
    </row>
    <row r="128" spans="1:15" ht="16" x14ac:dyDescent="0.2">
      <c r="A128" t="s">
        <v>331</v>
      </c>
      <c r="B128" s="1">
        <v>808531.57</v>
      </c>
      <c r="C128" s="1">
        <v>48112.06</v>
      </c>
      <c r="D128" s="1">
        <v>13335.57</v>
      </c>
      <c r="E128" s="1">
        <v>28814</v>
      </c>
      <c r="F128" s="6">
        <v>1.6697459568265425</v>
      </c>
      <c r="G128" t="s">
        <v>250</v>
      </c>
      <c r="H128" t="s">
        <v>127</v>
      </c>
      <c r="I128" t="s">
        <v>332</v>
      </c>
      <c r="J128" s="1">
        <v>28.060372388422294</v>
      </c>
      <c r="K128" s="1">
        <v>0</v>
      </c>
      <c r="L128" s="2">
        <v>0</v>
      </c>
      <c r="M128">
        <v>0.84</v>
      </c>
      <c r="N128">
        <v>0.71</v>
      </c>
      <c r="O128">
        <v>0.97</v>
      </c>
    </row>
    <row r="129" spans="1:15" ht="16" x14ac:dyDescent="0.2">
      <c r="A129" t="s">
        <v>333</v>
      </c>
      <c r="B129" s="1">
        <v>1040782.3200000001</v>
      </c>
      <c r="C129" s="1">
        <v>65864.5</v>
      </c>
      <c r="D129" s="1">
        <v>15314.46</v>
      </c>
      <c r="E129" s="1">
        <v>39617</v>
      </c>
      <c r="F129" s="6">
        <v>1.6625312365903526</v>
      </c>
      <c r="G129" t="s">
        <v>250</v>
      </c>
      <c r="H129" t="s">
        <v>121</v>
      </c>
      <c r="I129" t="s">
        <v>334</v>
      </c>
      <c r="J129" s="1">
        <v>26.271103819067573</v>
      </c>
      <c r="K129" s="1">
        <v>0</v>
      </c>
      <c r="L129" s="2">
        <v>0</v>
      </c>
      <c r="M129">
        <v>0.79</v>
      </c>
      <c r="N129">
        <v>1.76</v>
      </c>
      <c r="O129">
        <v>0.85</v>
      </c>
    </row>
    <row r="130" spans="1:15" ht="16" x14ac:dyDescent="0.2">
      <c r="A130" t="s">
        <v>34</v>
      </c>
      <c r="B130" s="1">
        <v>895421.91</v>
      </c>
      <c r="C130" s="1">
        <v>71748.44</v>
      </c>
      <c r="D130" s="1">
        <v>15122.08</v>
      </c>
      <c r="E130" s="1">
        <v>43445</v>
      </c>
      <c r="F130" s="6">
        <v>1.6514775002877202</v>
      </c>
      <c r="G130" t="s">
        <v>250</v>
      </c>
      <c r="H130" t="s">
        <v>123</v>
      </c>
      <c r="I130" t="s">
        <v>335</v>
      </c>
      <c r="J130" s="1">
        <v>20.610470940269305</v>
      </c>
      <c r="K130" s="1">
        <v>0</v>
      </c>
      <c r="L130" s="2">
        <v>0</v>
      </c>
      <c r="M130">
        <v>0.74</v>
      </c>
      <c r="N130">
        <v>0.83</v>
      </c>
      <c r="O130">
        <v>1.65</v>
      </c>
    </row>
    <row r="131" spans="1:15" ht="16" x14ac:dyDescent="0.2">
      <c r="A131" t="s">
        <v>13</v>
      </c>
      <c r="B131" s="1">
        <v>754015.45</v>
      </c>
      <c r="C131" s="1">
        <v>55539.53</v>
      </c>
      <c r="D131" s="1">
        <v>6772.65</v>
      </c>
      <c r="E131" s="1">
        <v>33650</v>
      </c>
      <c r="F131" s="6">
        <v>1.6505060921248143</v>
      </c>
      <c r="G131" t="s">
        <v>250</v>
      </c>
      <c r="H131" t="s">
        <v>120</v>
      </c>
      <c r="I131" t="s">
        <v>336</v>
      </c>
      <c r="J131" s="1">
        <v>22.407591381872212</v>
      </c>
      <c r="K131" s="1">
        <v>0</v>
      </c>
      <c r="L131" s="2">
        <v>0</v>
      </c>
      <c r="M131">
        <v>0.61</v>
      </c>
      <c r="N131">
        <v>0.99</v>
      </c>
      <c r="O131" t="s">
        <v>544</v>
      </c>
    </row>
    <row r="132" spans="1:15" ht="16" x14ac:dyDescent="0.2">
      <c r="A132" t="s">
        <v>337</v>
      </c>
      <c r="B132" s="1">
        <v>937960.45</v>
      </c>
      <c r="C132" s="1">
        <v>51829.8</v>
      </c>
      <c r="D132" s="1">
        <v>14397.62</v>
      </c>
      <c r="E132" s="1">
        <v>31731</v>
      </c>
      <c r="F132" s="6">
        <v>1.6334121206391228</v>
      </c>
      <c r="G132" t="s">
        <v>250</v>
      </c>
      <c r="H132" t="s">
        <v>126</v>
      </c>
      <c r="I132" t="s">
        <v>338</v>
      </c>
      <c r="J132" s="1">
        <v>29.55975071696448</v>
      </c>
      <c r="K132" s="1">
        <v>0</v>
      </c>
      <c r="L132" s="2">
        <v>0</v>
      </c>
      <c r="M132">
        <v>0.77</v>
      </c>
      <c r="N132">
        <v>0.9</v>
      </c>
      <c r="O132">
        <v>0.93</v>
      </c>
    </row>
    <row r="133" spans="1:15" ht="16" x14ac:dyDescent="0.2">
      <c r="A133" t="s">
        <v>339</v>
      </c>
      <c r="B133" s="1">
        <v>942153.04</v>
      </c>
      <c r="C133" s="1">
        <v>65089.62</v>
      </c>
      <c r="D133" s="1">
        <v>21323.06</v>
      </c>
      <c r="E133" s="1">
        <v>40441</v>
      </c>
      <c r="F133" s="6">
        <v>1.6094958087089835</v>
      </c>
      <c r="G133" t="s">
        <v>250</v>
      </c>
      <c r="H133" t="s">
        <v>130</v>
      </c>
      <c r="I133" t="s">
        <v>340</v>
      </c>
      <c r="J133" s="1">
        <v>23.296976830444351</v>
      </c>
      <c r="K133" s="1">
        <v>0</v>
      </c>
      <c r="L133" s="2">
        <v>0</v>
      </c>
      <c r="M133">
        <v>0.8</v>
      </c>
      <c r="N133">
        <v>0.79</v>
      </c>
      <c r="O133">
        <v>1.72</v>
      </c>
    </row>
    <row r="134" spans="1:15" ht="16" x14ac:dyDescent="0.2">
      <c r="A134" t="s">
        <v>341</v>
      </c>
      <c r="B134" s="1">
        <v>928541.34</v>
      </c>
      <c r="C134" s="1">
        <v>40067.019999999997</v>
      </c>
      <c r="D134" s="1">
        <v>15825.99</v>
      </c>
      <c r="E134" s="1">
        <v>25015</v>
      </c>
      <c r="F134" s="6">
        <v>1.6017197681391164</v>
      </c>
      <c r="G134" t="s">
        <v>250</v>
      </c>
      <c r="H134" t="s">
        <v>127</v>
      </c>
      <c r="I134" t="s">
        <v>342</v>
      </c>
      <c r="J134" s="1">
        <v>37.119381970817507</v>
      </c>
      <c r="K134" s="1">
        <v>0</v>
      </c>
      <c r="L134" s="2">
        <v>0</v>
      </c>
      <c r="M134">
        <v>0.66</v>
      </c>
      <c r="N134">
        <v>1.38</v>
      </c>
      <c r="O134">
        <v>0.6</v>
      </c>
    </row>
    <row r="135" spans="1:15" ht="16" x14ac:dyDescent="0.2">
      <c r="A135" t="s">
        <v>43</v>
      </c>
      <c r="B135" s="1">
        <v>2254679.66</v>
      </c>
      <c r="C135" s="1">
        <v>142343.23000000001</v>
      </c>
      <c r="D135" s="1">
        <v>47925.760000000002</v>
      </c>
      <c r="E135" s="1">
        <v>89636</v>
      </c>
      <c r="F135" s="6">
        <v>1.5880140791646216</v>
      </c>
      <c r="G135" t="s">
        <v>250</v>
      </c>
      <c r="H135" t="s">
        <v>123</v>
      </c>
      <c r="I135" t="s">
        <v>267</v>
      </c>
      <c r="J135" s="1">
        <v>25.153729082065244</v>
      </c>
      <c r="K135" s="1">
        <v>0</v>
      </c>
      <c r="L135" s="2">
        <v>0</v>
      </c>
      <c r="M135">
        <v>0.85</v>
      </c>
      <c r="N135">
        <v>4.2300000000000004</v>
      </c>
      <c r="O135">
        <v>2.65</v>
      </c>
    </row>
    <row r="136" spans="1:15" ht="16" x14ac:dyDescent="0.2">
      <c r="A136" t="s">
        <v>268</v>
      </c>
      <c r="B136" s="1">
        <v>1648765.3</v>
      </c>
      <c r="C136" s="1">
        <v>108962.67</v>
      </c>
      <c r="D136" s="1">
        <v>18049.43</v>
      </c>
      <c r="E136" s="1">
        <v>68724</v>
      </c>
      <c r="F136" s="6">
        <v>1.5855111751353239</v>
      </c>
      <c r="G136" t="s">
        <v>250</v>
      </c>
      <c r="H136" t="s">
        <v>120</v>
      </c>
      <c r="I136" t="s">
        <v>269</v>
      </c>
      <c r="J136" s="1">
        <v>23.991113730283452</v>
      </c>
      <c r="K136" s="1">
        <v>0</v>
      </c>
      <c r="L136" s="2">
        <v>0</v>
      </c>
      <c r="M136">
        <v>0.82</v>
      </c>
      <c r="N136">
        <v>3.25</v>
      </c>
      <c r="O136">
        <v>1.8</v>
      </c>
    </row>
    <row r="137" spans="1:15" ht="16" x14ac:dyDescent="0.2">
      <c r="A137" t="s">
        <v>270</v>
      </c>
      <c r="B137" s="1">
        <v>3326201.5300000003</v>
      </c>
      <c r="C137" s="1">
        <v>144370.41</v>
      </c>
      <c r="D137" s="1">
        <v>38047.24</v>
      </c>
      <c r="E137" s="1">
        <v>91314</v>
      </c>
      <c r="F137" s="6">
        <v>1.5810325908403968</v>
      </c>
      <c r="G137" t="s">
        <v>250</v>
      </c>
      <c r="H137" t="s">
        <v>132</v>
      </c>
      <c r="I137" t="s">
        <v>271</v>
      </c>
      <c r="J137" s="1">
        <v>36.425975534967257</v>
      </c>
      <c r="K137" s="1">
        <v>0</v>
      </c>
      <c r="L137" s="2">
        <v>0</v>
      </c>
      <c r="M137">
        <v>0.81</v>
      </c>
      <c r="N137">
        <v>4.12</v>
      </c>
      <c r="O137">
        <v>3.34</v>
      </c>
    </row>
    <row r="138" spans="1:15" ht="16" x14ac:dyDescent="0.2">
      <c r="A138" t="s">
        <v>343</v>
      </c>
      <c r="B138" s="1">
        <v>961638.29</v>
      </c>
      <c r="C138" s="1">
        <v>53934</v>
      </c>
      <c r="D138" s="1">
        <v>13552.46</v>
      </c>
      <c r="E138" s="1">
        <v>34183</v>
      </c>
      <c r="F138" s="6">
        <v>1.5778018313196618</v>
      </c>
      <c r="G138" t="s">
        <v>250</v>
      </c>
      <c r="H138" t="s">
        <v>126</v>
      </c>
      <c r="I138" t="s">
        <v>344</v>
      </c>
      <c r="J138" s="1">
        <v>28.132062428692628</v>
      </c>
      <c r="K138" s="1">
        <v>0</v>
      </c>
      <c r="L138" s="2">
        <v>0</v>
      </c>
      <c r="M138">
        <v>0.88</v>
      </c>
      <c r="N138">
        <v>0.94</v>
      </c>
      <c r="O138" t="s">
        <v>544</v>
      </c>
    </row>
    <row r="139" spans="1:15" ht="16" x14ac:dyDescent="0.2">
      <c r="A139" t="s">
        <v>272</v>
      </c>
      <c r="B139" s="1">
        <v>2964725.87</v>
      </c>
      <c r="C139" s="1">
        <v>184952.01</v>
      </c>
      <c r="D139" s="1">
        <v>41119.1</v>
      </c>
      <c r="E139" s="1">
        <v>117765</v>
      </c>
      <c r="F139" s="6">
        <v>1.5705176410648325</v>
      </c>
      <c r="G139" t="s">
        <v>250</v>
      </c>
      <c r="H139" t="s">
        <v>118</v>
      </c>
      <c r="I139" t="s">
        <v>273</v>
      </c>
      <c r="J139" s="1">
        <v>25.174932025644292</v>
      </c>
      <c r="K139" s="1">
        <v>0</v>
      </c>
      <c r="L139" s="2">
        <v>0</v>
      </c>
      <c r="M139">
        <v>0.84</v>
      </c>
      <c r="N139">
        <v>5.19</v>
      </c>
      <c r="O139">
        <v>4.55</v>
      </c>
    </row>
    <row r="140" spans="1:15" ht="16" x14ac:dyDescent="0.2">
      <c r="A140" t="s">
        <v>274</v>
      </c>
      <c r="B140" s="1">
        <v>1285406.8500000001</v>
      </c>
      <c r="C140" s="1">
        <v>75973.039999999994</v>
      </c>
      <c r="D140" s="1">
        <v>17264.669999999998</v>
      </c>
      <c r="E140" s="1">
        <v>48717</v>
      </c>
      <c r="F140" s="6">
        <v>1.5594769792885439</v>
      </c>
      <c r="G140" t="s">
        <v>250</v>
      </c>
      <c r="H140" t="s">
        <v>125</v>
      </c>
      <c r="I140" t="s">
        <v>275</v>
      </c>
      <c r="J140" s="1">
        <v>26.385180737730156</v>
      </c>
      <c r="K140" s="1">
        <v>0</v>
      </c>
      <c r="L140" s="2">
        <v>0</v>
      </c>
      <c r="M140">
        <v>0.87</v>
      </c>
      <c r="N140">
        <v>1.57</v>
      </c>
      <c r="O140">
        <v>0.82</v>
      </c>
    </row>
    <row r="141" spans="1:15" ht="16" x14ac:dyDescent="0.2">
      <c r="A141" t="s">
        <v>276</v>
      </c>
      <c r="B141" s="1">
        <v>1976139.61</v>
      </c>
      <c r="C141" s="1">
        <v>99223.15</v>
      </c>
      <c r="D141" s="1">
        <v>20517.060000000001</v>
      </c>
      <c r="E141" s="1">
        <v>63975</v>
      </c>
      <c r="F141" s="6">
        <v>1.5509675654552559</v>
      </c>
      <c r="G141" t="s">
        <v>250</v>
      </c>
      <c r="H141" t="s">
        <v>126</v>
      </c>
      <c r="I141" t="s">
        <v>277</v>
      </c>
      <c r="J141" s="1">
        <v>30.889247518561941</v>
      </c>
      <c r="K141" s="1">
        <v>0</v>
      </c>
      <c r="L141" s="2">
        <v>0</v>
      </c>
      <c r="M141">
        <v>0.86</v>
      </c>
      <c r="N141">
        <v>3.29</v>
      </c>
      <c r="O141">
        <v>1.61</v>
      </c>
    </row>
    <row r="142" spans="1:15" ht="16" x14ac:dyDescent="0.2">
      <c r="A142" t="s">
        <v>278</v>
      </c>
      <c r="B142" s="1">
        <v>1356259.81</v>
      </c>
      <c r="C142" s="1">
        <v>81288.89</v>
      </c>
      <c r="D142" s="1">
        <v>15808.52</v>
      </c>
      <c r="E142" s="1">
        <v>54715</v>
      </c>
      <c r="F142" s="6">
        <v>1.485678333181029</v>
      </c>
      <c r="G142" t="s">
        <v>250</v>
      </c>
      <c r="H142" t="s">
        <v>123</v>
      </c>
      <c r="I142" t="s">
        <v>279</v>
      </c>
      <c r="J142" s="1">
        <v>24.787714703463401</v>
      </c>
      <c r="K142" s="1">
        <v>0</v>
      </c>
      <c r="L142" s="2">
        <v>0</v>
      </c>
      <c r="M142">
        <v>0.94</v>
      </c>
      <c r="N142">
        <v>1.72</v>
      </c>
      <c r="O142">
        <v>0.78</v>
      </c>
    </row>
    <row r="143" spans="1:15" ht="16" x14ac:dyDescent="0.2">
      <c r="A143" t="s">
        <v>280</v>
      </c>
      <c r="B143" s="1">
        <v>1941835.1500000001</v>
      </c>
      <c r="C143" s="1">
        <v>93923.86</v>
      </c>
      <c r="D143" s="1">
        <v>26089.1</v>
      </c>
      <c r="E143" s="1">
        <v>63827</v>
      </c>
      <c r="F143" s="6">
        <v>1.4715380638287872</v>
      </c>
      <c r="G143" t="s">
        <v>250</v>
      </c>
      <c r="H143" t="s">
        <v>122</v>
      </c>
      <c r="I143" t="s">
        <v>281</v>
      </c>
      <c r="J143" s="1">
        <v>30.423412505679416</v>
      </c>
      <c r="K143" s="1">
        <v>0</v>
      </c>
      <c r="L143" s="2">
        <v>0</v>
      </c>
      <c r="M143">
        <v>0.85</v>
      </c>
      <c r="N143">
        <v>2.36</v>
      </c>
      <c r="O143">
        <v>1.64</v>
      </c>
    </row>
    <row r="144" spans="1:15" ht="16" x14ac:dyDescent="0.2">
      <c r="A144" t="s">
        <v>282</v>
      </c>
      <c r="B144" s="1">
        <v>1186668.3799999999</v>
      </c>
      <c r="C144" s="1">
        <v>72305.11</v>
      </c>
      <c r="D144" s="1">
        <v>12774.42</v>
      </c>
      <c r="E144" s="1">
        <v>49274</v>
      </c>
      <c r="F144" s="6">
        <v>1.4674089783658726</v>
      </c>
      <c r="G144" t="s">
        <v>250</v>
      </c>
      <c r="H144" t="s">
        <v>121</v>
      </c>
      <c r="I144" t="s">
        <v>283</v>
      </c>
      <c r="J144" s="1">
        <v>24.083053537362503</v>
      </c>
      <c r="K144" s="1">
        <v>0</v>
      </c>
      <c r="L144" s="2">
        <v>0</v>
      </c>
      <c r="M144">
        <v>0.81</v>
      </c>
      <c r="N144">
        <v>1.33</v>
      </c>
      <c r="O144">
        <v>0.87</v>
      </c>
    </row>
    <row r="145" spans="1:15" ht="16" x14ac:dyDescent="0.2">
      <c r="A145" t="s">
        <v>47</v>
      </c>
      <c r="B145" s="1">
        <v>1160106.67</v>
      </c>
      <c r="C145" s="1">
        <v>71072.31</v>
      </c>
      <c r="D145" s="1">
        <v>17472.669999999998</v>
      </c>
      <c r="E145" s="1">
        <v>49619</v>
      </c>
      <c r="F145" s="6">
        <v>1.4323607892138093</v>
      </c>
      <c r="G145" t="s">
        <v>250</v>
      </c>
      <c r="H145" t="s">
        <v>132</v>
      </c>
      <c r="I145" t="s">
        <v>284</v>
      </c>
      <c r="J145" s="1">
        <v>23.380291219089461</v>
      </c>
      <c r="K145" s="1">
        <v>0</v>
      </c>
      <c r="L145" s="2">
        <v>0</v>
      </c>
      <c r="M145">
        <v>0.73</v>
      </c>
      <c r="N145">
        <v>0.87</v>
      </c>
      <c r="O145">
        <v>1.61</v>
      </c>
    </row>
    <row r="146" spans="1:15" ht="16" x14ac:dyDescent="0.2">
      <c r="A146" t="s">
        <v>285</v>
      </c>
      <c r="B146" s="1">
        <v>2095687.26</v>
      </c>
      <c r="C146" s="1">
        <v>70158.570000000007</v>
      </c>
      <c r="D146" s="1">
        <v>15772.77</v>
      </c>
      <c r="E146" s="1">
        <v>49171</v>
      </c>
      <c r="F146" s="6">
        <v>1.4268282117508289</v>
      </c>
      <c r="G146" t="s">
        <v>250</v>
      </c>
      <c r="H146" t="s">
        <v>121</v>
      </c>
      <c r="I146" t="s">
        <v>286</v>
      </c>
      <c r="J146" s="1">
        <v>42.620391287547541</v>
      </c>
      <c r="K146" s="1">
        <v>0</v>
      </c>
      <c r="L146" s="2">
        <v>0</v>
      </c>
      <c r="M146">
        <v>0.88</v>
      </c>
      <c r="N146">
        <v>2.27</v>
      </c>
      <c r="O146" t="s">
        <v>544</v>
      </c>
    </row>
    <row r="147" spans="1:15" ht="16" x14ac:dyDescent="0.2">
      <c r="A147" t="s">
        <v>287</v>
      </c>
      <c r="B147" s="1">
        <v>1269671.6299999999</v>
      </c>
      <c r="C147" s="1">
        <v>43191.87</v>
      </c>
      <c r="D147" s="1">
        <v>11605.91</v>
      </c>
      <c r="E147" s="1">
        <v>30704</v>
      </c>
      <c r="F147" s="6">
        <v>1.4067180171964566</v>
      </c>
      <c r="G147" t="s">
        <v>250</v>
      </c>
      <c r="H147" t="s">
        <v>126</v>
      </c>
      <c r="I147" t="s">
        <v>288</v>
      </c>
      <c r="J147" s="1">
        <v>41.35199420270974</v>
      </c>
      <c r="K147" s="1">
        <v>0</v>
      </c>
      <c r="L147" s="2">
        <v>0</v>
      </c>
      <c r="M147">
        <v>0.91</v>
      </c>
      <c r="N147">
        <v>0.98</v>
      </c>
      <c r="O147">
        <v>3.38</v>
      </c>
    </row>
    <row r="148" spans="1:15" ht="16" x14ac:dyDescent="0.2">
      <c r="A148" t="s">
        <v>289</v>
      </c>
      <c r="B148" s="1">
        <v>1193531.57</v>
      </c>
      <c r="C148" s="1">
        <v>62053.120000000003</v>
      </c>
      <c r="D148" s="1">
        <v>16673.37</v>
      </c>
      <c r="E148" s="1">
        <v>44295</v>
      </c>
      <c r="F148" s="6">
        <v>1.4009057455694773</v>
      </c>
      <c r="G148" t="s">
        <v>250</v>
      </c>
      <c r="H148" t="s">
        <v>128</v>
      </c>
      <c r="I148" t="s">
        <v>290</v>
      </c>
      <c r="J148" s="1">
        <v>26.945063099672652</v>
      </c>
      <c r="K148" s="1">
        <v>0</v>
      </c>
      <c r="L148" s="2">
        <v>0</v>
      </c>
      <c r="M148">
        <v>0.78</v>
      </c>
      <c r="N148">
        <v>2.4900000000000002</v>
      </c>
      <c r="O148">
        <v>0.88</v>
      </c>
    </row>
    <row r="149" spans="1:15" ht="16" x14ac:dyDescent="0.2">
      <c r="A149" t="s">
        <v>291</v>
      </c>
      <c r="B149" s="1">
        <v>1555586</v>
      </c>
      <c r="C149" s="1">
        <v>82185.94</v>
      </c>
      <c r="D149" s="1">
        <v>16608.41</v>
      </c>
      <c r="E149" s="1">
        <v>58981</v>
      </c>
      <c r="F149" s="6">
        <v>1.3934307658398468</v>
      </c>
      <c r="G149" t="s">
        <v>250</v>
      </c>
      <c r="H149" t="s">
        <v>129</v>
      </c>
      <c r="I149" t="s">
        <v>292</v>
      </c>
      <c r="J149" s="1">
        <v>26.374357844051474</v>
      </c>
      <c r="K149" s="1">
        <v>0</v>
      </c>
      <c r="L149" s="2">
        <v>0</v>
      </c>
      <c r="M149">
        <v>0.79</v>
      </c>
      <c r="N149">
        <v>1.66</v>
      </c>
      <c r="O149">
        <v>1.79</v>
      </c>
    </row>
    <row r="150" spans="1:15" ht="16" x14ac:dyDescent="0.2">
      <c r="A150" t="s">
        <v>293</v>
      </c>
      <c r="B150" s="1">
        <v>1863858.16</v>
      </c>
      <c r="C150" s="1">
        <v>92768.5</v>
      </c>
      <c r="D150" s="1">
        <v>18517.04</v>
      </c>
      <c r="E150" s="1">
        <v>66693</v>
      </c>
      <c r="F150" s="6">
        <v>1.3909780636648523</v>
      </c>
      <c r="G150" t="s">
        <v>250</v>
      </c>
      <c r="H150" t="s">
        <v>124</v>
      </c>
      <c r="I150" t="s">
        <v>294</v>
      </c>
      <c r="J150" s="1">
        <v>27.946833400806682</v>
      </c>
      <c r="K150" s="1">
        <v>0</v>
      </c>
      <c r="L150" s="2">
        <v>0</v>
      </c>
      <c r="M150">
        <v>0.8</v>
      </c>
      <c r="N150">
        <v>1.9</v>
      </c>
      <c r="O150">
        <v>1.7</v>
      </c>
    </row>
    <row r="151" spans="1:15" ht="16" x14ac:dyDescent="0.2">
      <c r="A151" t="s">
        <v>295</v>
      </c>
      <c r="B151" s="1">
        <v>1718307.54</v>
      </c>
      <c r="C151" s="1">
        <v>87072.93</v>
      </c>
      <c r="D151" s="1">
        <v>24428.649999999998</v>
      </c>
      <c r="E151" s="1">
        <v>65842</v>
      </c>
      <c r="F151" s="6">
        <v>1.3224526897724855</v>
      </c>
      <c r="G151" t="s">
        <v>250</v>
      </c>
      <c r="H151" t="s">
        <v>130</v>
      </c>
      <c r="I151" t="s">
        <v>296</v>
      </c>
      <c r="J151" s="1">
        <v>26.097438413170924</v>
      </c>
      <c r="K151" s="1">
        <v>0</v>
      </c>
      <c r="L151" s="2">
        <v>0</v>
      </c>
      <c r="M151">
        <v>0.92</v>
      </c>
      <c r="N151">
        <v>2.14</v>
      </c>
      <c r="O151">
        <v>3.45</v>
      </c>
    </row>
    <row r="152" spans="1:15" ht="16" x14ac:dyDescent="0.2">
      <c r="A152" t="s">
        <v>297</v>
      </c>
      <c r="B152" s="1">
        <v>2276340.0099999998</v>
      </c>
      <c r="C152" s="1">
        <v>90004.32</v>
      </c>
      <c r="D152" s="1">
        <v>21894.91</v>
      </c>
      <c r="E152" s="1">
        <v>69123</v>
      </c>
      <c r="F152" s="6">
        <v>1.3020893190399723</v>
      </c>
      <c r="G152" t="s">
        <v>250</v>
      </c>
      <c r="H152" t="s">
        <v>126</v>
      </c>
      <c r="I152" t="s">
        <v>298</v>
      </c>
      <c r="J152" s="1">
        <v>32.931730538315755</v>
      </c>
      <c r="K152" s="1">
        <v>-1407.3913499999901</v>
      </c>
      <c r="L152" s="2">
        <v>1.5636931093974044E-2</v>
      </c>
      <c r="M152">
        <v>0.61</v>
      </c>
      <c r="N152">
        <v>1.92</v>
      </c>
      <c r="O152">
        <v>1.62</v>
      </c>
    </row>
    <row r="153" spans="1:15" ht="16" x14ac:dyDescent="0.2">
      <c r="A153" t="s">
        <v>345</v>
      </c>
      <c r="B153" s="1">
        <v>850709.78</v>
      </c>
      <c r="C153" s="1">
        <v>54490.13</v>
      </c>
      <c r="D153" s="1">
        <v>15568.98</v>
      </c>
      <c r="E153" s="1">
        <v>35523</v>
      </c>
      <c r="F153" s="6">
        <v>1.5339394195310081</v>
      </c>
      <c r="G153" t="s">
        <v>250</v>
      </c>
      <c r="H153" t="s">
        <v>123</v>
      </c>
      <c r="I153" t="s">
        <v>346</v>
      </c>
      <c r="J153" s="1">
        <v>23.948140078259158</v>
      </c>
      <c r="K153" s="1">
        <v>-1558.0594000000026</v>
      </c>
      <c r="L153" s="2">
        <v>2.8593424166908809E-2</v>
      </c>
      <c r="M153">
        <v>0.69</v>
      </c>
      <c r="N153">
        <v>0.82</v>
      </c>
      <c r="O153">
        <v>0.91</v>
      </c>
    </row>
    <row r="154" spans="1:15" ht="16" x14ac:dyDescent="0.2">
      <c r="A154" t="s">
        <v>299</v>
      </c>
      <c r="B154" s="1">
        <v>1590894.27</v>
      </c>
      <c r="C154" s="1">
        <v>85859.57</v>
      </c>
      <c r="D154" s="1">
        <v>23855.34</v>
      </c>
      <c r="E154" s="1">
        <v>66177</v>
      </c>
      <c r="F154" s="6">
        <v>1.2974231228372397</v>
      </c>
      <c r="G154" t="s">
        <v>250</v>
      </c>
      <c r="H154" t="s">
        <v>131</v>
      </c>
      <c r="I154" t="s">
        <v>300</v>
      </c>
      <c r="J154" s="1">
        <v>24.039987760097919</v>
      </c>
      <c r="K154" s="1">
        <v>-1656.2036499999815</v>
      </c>
      <c r="L154" s="2">
        <v>1.928968023017098E-2</v>
      </c>
      <c r="M154">
        <v>0.78</v>
      </c>
      <c r="N154">
        <v>1.71</v>
      </c>
      <c r="O154">
        <v>1.66</v>
      </c>
    </row>
    <row r="155" spans="1:15" ht="16" x14ac:dyDescent="0.2">
      <c r="A155" t="s">
        <v>39</v>
      </c>
      <c r="B155" s="1">
        <v>1284620.18</v>
      </c>
      <c r="C155" s="1">
        <v>73240.22</v>
      </c>
      <c r="D155" s="1">
        <v>21416.53</v>
      </c>
      <c r="E155" s="1">
        <v>57076</v>
      </c>
      <c r="F155" s="6">
        <v>1.2832052000840983</v>
      </c>
      <c r="G155" t="s">
        <v>250</v>
      </c>
      <c r="H155" t="s">
        <v>126</v>
      </c>
      <c r="I155" t="s">
        <v>301</v>
      </c>
      <c r="J155" s="1">
        <v>22.50718655827318</v>
      </c>
      <c r="K155" s="1">
        <v>-2239.9361999999983</v>
      </c>
      <c r="L155" s="2">
        <v>3.058341714429583E-2</v>
      </c>
      <c r="M155">
        <v>0.83</v>
      </c>
      <c r="N155">
        <v>2.44</v>
      </c>
      <c r="O155" t="s">
        <v>544</v>
      </c>
    </row>
    <row r="156" spans="1:15" ht="16" x14ac:dyDescent="0.2">
      <c r="A156" t="s">
        <v>349</v>
      </c>
      <c r="B156" s="1">
        <v>707565.22</v>
      </c>
      <c r="C156" s="1">
        <v>43424.93</v>
      </c>
      <c r="D156" s="1">
        <v>10359.41</v>
      </c>
      <c r="E156" s="1">
        <v>29031</v>
      </c>
      <c r="F156" s="6">
        <v>1.495812407426544</v>
      </c>
      <c r="G156" t="s">
        <v>250</v>
      </c>
      <c r="H156" t="s">
        <v>118</v>
      </c>
      <c r="I156" t="s">
        <v>350</v>
      </c>
      <c r="J156" s="1">
        <v>24.37274706348386</v>
      </c>
      <c r="K156" s="1">
        <v>-2380.1818000000044</v>
      </c>
      <c r="L156" s="2">
        <v>5.4811413628070425E-2</v>
      </c>
      <c r="M156">
        <v>0.81</v>
      </c>
      <c r="N156">
        <v>1.66</v>
      </c>
      <c r="O156" t="s">
        <v>544</v>
      </c>
    </row>
    <row r="157" spans="1:15" ht="16" x14ac:dyDescent="0.2">
      <c r="A157" t="s">
        <v>347</v>
      </c>
      <c r="B157" s="1">
        <v>1054084.25</v>
      </c>
      <c r="C157" s="1">
        <v>57217.35</v>
      </c>
      <c r="D157" s="1">
        <v>13826.98</v>
      </c>
      <c r="E157" s="1">
        <v>38056</v>
      </c>
      <c r="F157" s="6">
        <v>1.503504046668068</v>
      </c>
      <c r="G157" t="s">
        <v>250</v>
      </c>
      <c r="H157" t="s">
        <v>122</v>
      </c>
      <c r="I157" t="s">
        <v>348</v>
      </c>
      <c r="J157" s="1">
        <v>27.698240750472987</v>
      </c>
      <c r="K157" s="1">
        <v>-2827.4068000000066</v>
      </c>
      <c r="L157" s="2">
        <v>4.9415200109757036E-2</v>
      </c>
      <c r="M157">
        <v>0.1</v>
      </c>
      <c r="N157">
        <v>1.61</v>
      </c>
      <c r="O157">
        <v>0.87</v>
      </c>
    </row>
    <row r="158" spans="1:15" ht="16" x14ac:dyDescent="0.2">
      <c r="A158" t="s">
        <v>351</v>
      </c>
      <c r="B158" s="1">
        <v>863756.79999999993</v>
      </c>
      <c r="C158" s="1">
        <v>55801.41</v>
      </c>
      <c r="D158" s="1">
        <v>10343.219999999999</v>
      </c>
      <c r="E158" s="1">
        <v>37340</v>
      </c>
      <c r="F158" s="6">
        <v>1.4944137653990359</v>
      </c>
      <c r="G158" t="s">
        <v>250</v>
      </c>
      <c r="H158" t="s">
        <v>123</v>
      </c>
      <c r="I158" t="s">
        <v>352</v>
      </c>
      <c r="J158" s="1">
        <v>23.132212104981253</v>
      </c>
      <c r="K158" s="1">
        <v>-3113.6420000000021</v>
      </c>
      <c r="L158" s="2">
        <v>5.5798625877016401E-2</v>
      </c>
      <c r="M158">
        <v>0.68</v>
      </c>
      <c r="N158">
        <v>0.84</v>
      </c>
      <c r="O158">
        <v>0.84</v>
      </c>
    </row>
    <row r="159" spans="1:15" ht="16" x14ac:dyDescent="0.2">
      <c r="A159" t="s">
        <v>353</v>
      </c>
      <c r="B159" s="1">
        <v>961349.92</v>
      </c>
      <c r="C159" s="1">
        <v>56537.3</v>
      </c>
      <c r="D159" s="1">
        <v>16106.81</v>
      </c>
      <c r="E159" s="1">
        <v>37902</v>
      </c>
      <c r="F159" s="6">
        <v>1.491670624241465</v>
      </c>
      <c r="G159" t="s">
        <v>250</v>
      </c>
      <c r="H159" t="s">
        <v>119</v>
      </c>
      <c r="I159" t="s">
        <v>354</v>
      </c>
      <c r="J159" s="1">
        <v>25.364094770724503</v>
      </c>
      <c r="K159" s="1">
        <v>-3264.4755999999966</v>
      </c>
      <c r="L159" s="2">
        <v>5.7740210445139696E-2</v>
      </c>
      <c r="M159">
        <v>0.04</v>
      </c>
      <c r="N159">
        <v>1.08</v>
      </c>
      <c r="O159">
        <v>1.68</v>
      </c>
    </row>
    <row r="160" spans="1:15" ht="16" x14ac:dyDescent="0.2">
      <c r="A160" t="s">
        <v>355</v>
      </c>
      <c r="B160" s="1">
        <v>869843.62</v>
      </c>
      <c r="C160" s="1">
        <v>60139.09</v>
      </c>
      <c r="D160" s="1">
        <v>14781.93</v>
      </c>
      <c r="E160" s="1">
        <v>41965</v>
      </c>
      <c r="F160" s="6">
        <v>1.4330773263433814</v>
      </c>
      <c r="G160" t="s">
        <v>250</v>
      </c>
      <c r="H160" t="s">
        <v>125</v>
      </c>
      <c r="I160" t="s">
        <v>356</v>
      </c>
      <c r="J160" s="1">
        <v>20.72783557726677</v>
      </c>
      <c r="K160" s="1">
        <v>-6073.2870000000048</v>
      </c>
      <c r="L160" s="2">
        <v>0.10098734450421523</v>
      </c>
      <c r="M160">
        <v>0.84</v>
      </c>
      <c r="N160">
        <v>0.88</v>
      </c>
      <c r="O160">
        <v>0.89</v>
      </c>
    </row>
    <row r="161" spans="1:15" ht="16" x14ac:dyDescent="0.2">
      <c r="A161" t="s">
        <v>302</v>
      </c>
      <c r="B161" s="1">
        <v>1990939.21</v>
      </c>
      <c r="C161" s="1">
        <v>106315.04000000001</v>
      </c>
      <c r="D161" s="1">
        <v>21993.86</v>
      </c>
      <c r="E161" s="1">
        <v>85547</v>
      </c>
      <c r="F161" s="6">
        <v>1.2427676014354683</v>
      </c>
      <c r="G161" t="s">
        <v>250</v>
      </c>
      <c r="H161" t="s">
        <v>126</v>
      </c>
      <c r="I161" t="s">
        <v>303</v>
      </c>
      <c r="J161" s="1">
        <v>23.273045343495387</v>
      </c>
      <c r="K161" s="1">
        <v>-6816.5901499999873</v>
      </c>
      <c r="L161" s="2">
        <v>6.4116893997312019E-2</v>
      </c>
      <c r="M161">
        <v>0.81</v>
      </c>
      <c r="N161">
        <v>2.4900000000000002</v>
      </c>
      <c r="O161">
        <v>2.4700000000000002</v>
      </c>
    </row>
    <row r="162" spans="1:15" ht="16" x14ac:dyDescent="0.2">
      <c r="A162" t="s">
        <v>17</v>
      </c>
      <c r="B162" s="1">
        <v>1412738.8</v>
      </c>
      <c r="C162" s="1">
        <v>69113.009999999995</v>
      </c>
      <c r="D162" s="1">
        <v>21778.93</v>
      </c>
      <c r="E162" s="1">
        <v>58861</v>
      </c>
      <c r="F162" s="6">
        <v>1.1741732216578038</v>
      </c>
      <c r="G162" t="s">
        <v>250</v>
      </c>
      <c r="H162" t="s">
        <v>129</v>
      </c>
      <c r="I162" t="s">
        <v>304</v>
      </c>
      <c r="J162" s="1">
        <v>24.00127079050645</v>
      </c>
      <c r="K162" s="1">
        <v>-8727.7194500000041</v>
      </c>
      <c r="L162" s="2">
        <v>0.12628185995661315</v>
      </c>
      <c r="M162">
        <v>0.85</v>
      </c>
      <c r="N162">
        <v>1.31</v>
      </c>
      <c r="O162">
        <v>2.23</v>
      </c>
    </row>
    <row r="163" spans="1:15" ht="16" x14ac:dyDescent="0.2">
      <c r="A163" t="s">
        <v>305</v>
      </c>
      <c r="B163" s="1">
        <v>2439655.2999999998</v>
      </c>
      <c r="C163" s="1">
        <v>77511.070000000007</v>
      </c>
      <c r="D163" s="1">
        <v>21987.82</v>
      </c>
      <c r="E163" s="1">
        <v>68096</v>
      </c>
      <c r="F163" s="6">
        <v>1.1382617187500002</v>
      </c>
      <c r="G163" t="s">
        <v>250</v>
      </c>
      <c r="H163" t="s">
        <v>126</v>
      </c>
      <c r="I163" t="s">
        <v>306</v>
      </c>
      <c r="J163" s="1">
        <v>35.826704945958646</v>
      </c>
      <c r="K163" s="1">
        <v>-12542.485199999983</v>
      </c>
      <c r="L163" s="2">
        <v>0.16181540520599164</v>
      </c>
      <c r="M163">
        <v>0.87</v>
      </c>
      <c r="N163">
        <v>2.7</v>
      </c>
      <c r="O163" t="s">
        <v>544</v>
      </c>
    </row>
    <row r="164" spans="1:15" ht="16" x14ac:dyDescent="0.2">
      <c r="A164" t="s">
        <v>308</v>
      </c>
      <c r="B164" s="1">
        <v>1499991.97</v>
      </c>
      <c r="C164" s="1">
        <v>63370.69</v>
      </c>
      <c r="D164" s="1">
        <v>16952.97</v>
      </c>
      <c r="E164" s="1">
        <v>59833</v>
      </c>
      <c r="F164" s="6">
        <v>1.0591260675546939</v>
      </c>
      <c r="G164" t="s">
        <v>250</v>
      </c>
      <c r="H164" t="s">
        <v>126</v>
      </c>
      <c r="I164" t="s">
        <v>309</v>
      </c>
      <c r="J164" s="1">
        <v>25.069643340631423</v>
      </c>
      <c r="K164" s="1">
        <v>-15755.460849999998</v>
      </c>
      <c r="L164" s="2">
        <v>0.24862378569651045</v>
      </c>
      <c r="M164">
        <v>0.88</v>
      </c>
      <c r="N164">
        <v>3.17</v>
      </c>
      <c r="O164">
        <v>2.13</v>
      </c>
    </row>
    <row r="165" spans="1:15" ht="16" x14ac:dyDescent="0.2">
      <c r="A165" t="s">
        <v>29</v>
      </c>
      <c r="B165" s="1">
        <v>1924848.33</v>
      </c>
      <c r="C165" s="1">
        <v>76040.740000000005</v>
      </c>
      <c r="D165" s="1">
        <v>26521.65</v>
      </c>
      <c r="E165" s="1">
        <v>70712</v>
      </c>
      <c r="F165" s="6">
        <v>1.0753583550175361</v>
      </c>
      <c r="G165" t="s">
        <v>250</v>
      </c>
      <c r="H165" t="s">
        <v>129</v>
      </c>
      <c r="I165" t="s">
        <v>307</v>
      </c>
      <c r="J165" s="1">
        <v>27.220957263265078</v>
      </c>
      <c r="K165" s="1">
        <v>-17472.344399999984</v>
      </c>
      <c r="L165" s="2">
        <v>0.22977609633993543</v>
      </c>
      <c r="M165">
        <v>0.85</v>
      </c>
      <c r="N165">
        <v>1.38</v>
      </c>
      <c r="O165">
        <v>2.38</v>
      </c>
    </row>
    <row r="167" spans="1:15" ht="19" x14ac:dyDescent="0.25">
      <c r="A167" s="4" t="s">
        <v>538</v>
      </c>
      <c r="F167" t="e">
        <f>CORREL(F108:F165,#REF!)</f>
        <v>#REF!</v>
      </c>
    </row>
    <row r="169" spans="1:15" x14ac:dyDescent="0.2">
      <c r="A169" t="s">
        <v>0</v>
      </c>
      <c r="B169" s="3" t="s">
        <v>1</v>
      </c>
      <c r="C169" s="3" t="s">
        <v>2</v>
      </c>
      <c r="D169" s="3" t="s">
        <v>3</v>
      </c>
      <c r="E169" s="3" t="s">
        <v>4</v>
      </c>
      <c r="F169" s="3" t="s">
        <v>5</v>
      </c>
      <c r="G169" t="s">
        <v>6</v>
      </c>
      <c r="H169" t="s">
        <v>7</v>
      </c>
      <c r="I169" t="s">
        <v>8</v>
      </c>
      <c r="J169" s="3" t="s">
        <v>9</v>
      </c>
      <c r="K169" t="s">
        <v>10</v>
      </c>
      <c r="L169" t="s">
        <v>11</v>
      </c>
    </row>
    <row r="170" spans="1:15" ht="16" x14ac:dyDescent="0.2">
      <c r="A170" t="s">
        <v>357</v>
      </c>
      <c r="B170" s="1">
        <v>898196.54</v>
      </c>
      <c r="C170" s="1">
        <v>58590.83</v>
      </c>
      <c r="D170" s="1">
        <v>9742.69</v>
      </c>
      <c r="E170" s="1">
        <v>24201</v>
      </c>
      <c r="F170" s="6">
        <v>2.4210086360067766</v>
      </c>
      <c r="G170" t="s">
        <v>358</v>
      </c>
      <c r="H170" t="s">
        <v>130</v>
      </c>
      <c r="I170" t="s">
        <v>359</v>
      </c>
      <c r="J170" s="1">
        <v>37.114025866699727</v>
      </c>
      <c r="K170" s="1">
        <v>20353.274201000004</v>
      </c>
      <c r="L170" s="2">
        <v>0.34737985792315973</v>
      </c>
      <c r="M170">
        <v>0.82</v>
      </c>
      <c r="N170">
        <v>0.81</v>
      </c>
      <c r="O170">
        <v>0.79</v>
      </c>
    </row>
    <row r="171" spans="1:15" ht="16" x14ac:dyDescent="0.2">
      <c r="A171" t="s">
        <v>37</v>
      </c>
      <c r="B171" s="1">
        <v>548531.97</v>
      </c>
      <c r="C171" s="1">
        <v>64822.46</v>
      </c>
      <c r="D171" s="1">
        <v>11866.85</v>
      </c>
      <c r="E171" s="1">
        <v>28041</v>
      </c>
      <c r="F171" s="6">
        <v>2.3117028636639207</v>
      </c>
      <c r="G171" t="s">
        <v>358</v>
      </c>
      <c r="H171" t="s">
        <v>125</v>
      </c>
      <c r="I171" t="s">
        <v>418</v>
      </c>
      <c r="J171" s="1">
        <v>19.561783459933668</v>
      </c>
      <c r="K171" s="1">
        <v>14722.698899000001</v>
      </c>
      <c r="L171" s="2">
        <v>0.22712342140363079</v>
      </c>
      <c r="M171">
        <v>0.92</v>
      </c>
      <c r="N171">
        <v>0.85</v>
      </c>
      <c r="O171">
        <v>0.93</v>
      </c>
    </row>
    <row r="172" spans="1:15" ht="16" x14ac:dyDescent="0.2">
      <c r="A172" t="s">
        <v>360</v>
      </c>
      <c r="B172" s="1">
        <v>1341074.47</v>
      </c>
      <c r="C172" s="1">
        <v>70683.210000000006</v>
      </c>
      <c r="D172" s="1">
        <v>16703.650000000001</v>
      </c>
      <c r="E172" s="1">
        <v>36958</v>
      </c>
      <c r="F172" s="6">
        <v>1.9125280047621627</v>
      </c>
      <c r="G172" t="s">
        <v>358</v>
      </c>
      <c r="H172" t="s">
        <v>125</v>
      </c>
      <c r="I172" t="s">
        <v>361</v>
      </c>
      <c r="J172" s="1">
        <v>36.286445965690781</v>
      </c>
      <c r="K172" s="1">
        <v>12289.606958000011</v>
      </c>
      <c r="L172" s="2">
        <v>0.17386882907553308</v>
      </c>
      <c r="M172">
        <v>0.77</v>
      </c>
      <c r="N172">
        <v>0.86</v>
      </c>
      <c r="O172">
        <v>1.69</v>
      </c>
    </row>
    <row r="173" spans="1:15" ht="16" x14ac:dyDescent="0.2">
      <c r="A173" t="s">
        <v>416</v>
      </c>
      <c r="B173" s="1">
        <v>816406.79</v>
      </c>
      <c r="C173" s="1">
        <v>40953.71</v>
      </c>
      <c r="D173" s="1">
        <v>9209.94</v>
      </c>
      <c r="E173" s="1">
        <v>16611</v>
      </c>
      <c r="F173" s="6">
        <v>2.4654572271386432</v>
      </c>
      <c r="G173" t="s">
        <v>358</v>
      </c>
      <c r="H173" t="s">
        <v>130</v>
      </c>
      <c r="I173" t="s">
        <v>417</v>
      </c>
      <c r="J173" s="1">
        <v>49.148563602432127</v>
      </c>
      <c r="K173" s="1">
        <v>11275.484129000002</v>
      </c>
      <c r="L173" s="2">
        <v>0.27532265401596101</v>
      </c>
      <c r="M173">
        <v>0.8</v>
      </c>
      <c r="N173" t="s">
        <v>544</v>
      </c>
      <c r="O173">
        <v>0.71</v>
      </c>
    </row>
    <row r="174" spans="1:15" ht="16" x14ac:dyDescent="0.2">
      <c r="A174" t="s">
        <v>362</v>
      </c>
      <c r="B174" s="1">
        <v>1035639.0499999999</v>
      </c>
      <c r="C174" s="1">
        <v>66891.399999999994</v>
      </c>
      <c r="D174" s="1">
        <v>16401.68</v>
      </c>
      <c r="E174" s="1">
        <v>36054</v>
      </c>
      <c r="F174" s="6">
        <v>1.8553114772286015</v>
      </c>
      <c r="G174" t="s">
        <v>358</v>
      </c>
      <c r="H174" t="s">
        <v>131</v>
      </c>
      <c r="I174" t="s">
        <v>363</v>
      </c>
      <c r="J174" s="1">
        <v>28.724664392300436</v>
      </c>
      <c r="K174" s="1">
        <v>9926.1160540000001</v>
      </c>
      <c r="L174" s="2">
        <v>0.1483915130196109</v>
      </c>
      <c r="M174">
        <v>0.87</v>
      </c>
      <c r="N174">
        <v>1.63</v>
      </c>
      <c r="O174">
        <v>0.9</v>
      </c>
    </row>
    <row r="175" spans="1:15" ht="16" x14ac:dyDescent="0.2">
      <c r="A175" t="s">
        <v>364</v>
      </c>
      <c r="B175" s="1">
        <v>1336326.83</v>
      </c>
      <c r="C175" s="1">
        <v>78897.5</v>
      </c>
      <c r="D175" s="1">
        <v>10091.880000000001</v>
      </c>
      <c r="E175" s="1">
        <v>44382</v>
      </c>
      <c r="F175" s="6">
        <v>1.7776914064260285</v>
      </c>
      <c r="G175" t="s">
        <v>358</v>
      </c>
      <c r="H175" t="s">
        <v>118</v>
      </c>
      <c r="I175" t="s">
        <v>365</v>
      </c>
      <c r="J175" s="1">
        <v>30.109657744130505</v>
      </c>
      <c r="K175" s="1">
        <v>8773.9843820000006</v>
      </c>
      <c r="L175" s="2">
        <v>0.111207381501315</v>
      </c>
      <c r="M175">
        <v>0.45</v>
      </c>
      <c r="N175">
        <v>1.49</v>
      </c>
      <c r="O175">
        <v>0.78</v>
      </c>
    </row>
    <row r="176" spans="1:15" ht="16" x14ac:dyDescent="0.2">
      <c r="A176" t="s">
        <v>419</v>
      </c>
      <c r="B176" s="1">
        <v>607819.96</v>
      </c>
      <c r="C176" s="1">
        <v>58502.720000000001</v>
      </c>
      <c r="D176" s="1">
        <v>11995.34</v>
      </c>
      <c r="E176" s="1">
        <v>28332</v>
      </c>
      <c r="F176" s="6">
        <v>2.0648990540731327</v>
      </c>
      <c r="G176" t="s">
        <v>358</v>
      </c>
      <c r="H176" t="s">
        <v>119</v>
      </c>
      <c r="I176" t="s">
        <v>420</v>
      </c>
      <c r="J176" s="1">
        <v>21.453478751941265</v>
      </c>
      <c r="K176" s="1">
        <v>7883.0405479999936</v>
      </c>
      <c r="L176" s="2">
        <v>0.13474656474092134</v>
      </c>
      <c r="M176">
        <v>0.89</v>
      </c>
      <c r="N176">
        <v>0.88</v>
      </c>
      <c r="O176">
        <v>1.78</v>
      </c>
    </row>
    <row r="177" spans="1:15" ht="16" x14ac:dyDescent="0.2">
      <c r="A177" t="s">
        <v>24</v>
      </c>
      <c r="B177" s="1">
        <v>946843.62</v>
      </c>
      <c r="C177" s="1">
        <v>79484.09</v>
      </c>
      <c r="D177" s="1">
        <v>15677.619999999999</v>
      </c>
      <c r="E177" s="1">
        <v>46145</v>
      </c>
      <c r="F177" s="6">
        <v>1.7224854263733882</v>
      </c>
      <c r="G177" t="s">
        <v>358</v>
      </c>
      <c r="H177" t="s">
        <v>206</v>
      </c>
      <c r="I177" t="s">
        <v>366</v>
      </c>
      <c r="J177" s="1">
        <v>20.518877884927946</v>
      </c>
      <c r="K177" s="1">
        <v>6575.0361450000019</v>
      </c>
      <c r="L177" s="2">
        <v>8.2721411857391861E-2</v>
      </c>
      <c r="M177">
        <v>0.83</v>
      </c>
      <c r="N177">
        <v>1.53</v>
      </c>
      <c r="O177">
        <v>1.59</v>
      </c>
    </row>
    <row r="178" spans="1:15" ht="16" x14ac:dyDescent="0.2">
      <c r="A178" t="s">
        <v>421</v>
      </c>
      <c r="B178" s="1">
        <v>737576.93</v>
      </c>
      <c r="C178" s="1">
        <v>45559.360000000001</v>
      </c>
      <c r="D178" s="1">
        <v>11696.23</v>
      </c>
      <c r="E178" s="1">
        <v>22133</v>
      </c>
      <c r="F178" s="6">
        <v>2.0584358198165633</v>
      </c>
      <c r="G178" t="s">
        <v>358</v>
      </c>
      <c r="H178" t="s">
        <v>131</v>
      </c>
      <c r="I178" t="s">
        <v>422</v>
      </c>
      <c r="J178" s="1">
        <v>33.324760764469346</v>
      </c>
      <c r="K178" s="1">
        <v>6015.1920869999949</v>
      </c>
      <c r="L178" s="2">
        <v>0.13202977581335634</v>
      </c>
      <c r="M178">
        <v>0.86</v>
      </c>
      <c r="N178">
        <v>0.85</v>
      </c>
      <c r="O178">
        <v>0.77</v>
      </c>
    </row>
    <row r="179" spans="1:15" ht="16" x14ac:dyDescent="0.2">
      <c r="A179" t="s">
        <v>367</v>
      </c>
      <c r="B179" s="1">
        <v>1299868.83</v>
      </c>
      <c r="C179" s="1">
        <v>67703.490000000005</v>
      </c>
      <c r="D179" s="1">
        <v>24018.01</v>
      </c>
      <c r="E179" s="1">
        <v>39636</v>
      </c>
      <c r="F179" s="6">
        <v>1.7081312443233425</v>
      </c>
      <c r="G179" t="s">
        <v>358</v>
      </c>
      <c r="H179" t="s">
        <v>124</v>
      </c>
      <c r="I179" t="s">
        <v>368</v>
      </c>
      <c r="J179" s="1">
        <v>32.795156675749318</v>
      </c>
      <c r="K179" s="1">
        <v>5078.6496360000065</v>
      </c>
      <c r="L179" s="2">
        <v>7.5013114331329248E-2</v>
      </c>
      <c r="M179">
        <v>0.84</v>
      </c>
      <c r="N179">
        <v>0.9</v>
      </c>
      <c r="O179">
        <v>1.7</v>
      </c>
    </row>
    <row r="180" spans="1:15" ht="16" x14ac:dyDescent="0.2">
      <c r="A180" t="s">
        <v>369</v>
      </c>
      <c r="B180" s="1">
        <v>1212481.74</v>
      </c>
      <c r="C180" s="1">
        <v>67182.09</v>
      </c>
      <c r="D180" s="1">
        <v>22114.63</v>
      </c>
      <c r="E180" s="1">
        <v>40170</v>
      </c>
      <c r="F180" s="6">
        <v>1.672444361463779</v>
      </c>
      <c r="G180" t="s">
        <v>358</v>
      </c>
      <c r="H180" t="s">
        <v>127</v>
      </c>
      <c r="I180" t="s">
        <v>370</v>
      </c>
      <c r="J180" s="1">
        <v>30.183762509335324</v>
      </c>
      <c r="K180" s="1">
        <v>3713.5301700000032</v>
      </c>
      <c r="L180" s="2">
        <v>5.5275597558813713E-2</v>
      </c>
      <c r="M180">
        <v>0.9</v>
      </c>
      <c r="N180">
        <v>1.4</v>
      </c>
      <c r="O180">
        <v>0.85</v>
      </c>
    </row>
    <row r="181" spans="1:15" ht="16" x14ac:dyDescent="0.2">
      <c r="A181" t="s">
        <v>423</v>
      </c>
      <c r="B181" s="1">
        <v>762719.72</v>
      </c>
      <c r="C181" s="1">
        <v>56554.82</v>
      </c>
      <c r="D181" s="1">
        <v>11955.28</v>
      </c>
      <c r="E181" s="1">
        <v>29917</v>
      </c>
      <c r="F181" s="6">
        <v>1.8903907477354012</v>
      </c>
      <c r="G181" t="s">
        <v>358</v>
      </c>
      <c r="H181" t="s">
        <v>123</v>
      </c>
      <c r="I181" t="s">
        <v>424</v>
      </c>
      <c r="J181" s="1">
        <v>25.494525520607013</v>
      </c>
      <c r="K181" s="1">
        <v>3103.2828629999949</v>
      </c>
      <c r="L181" s="2">
        <v>5.4872119882973636E-2</v>
      </c>
      <c r="M181">
        <v>0.19</v>
      </c>
      <c r="N181">
        <v>0.63</v>
      </c>
      <c r="O181">
        <v>0.75</v>
      </c>
    </row>
    <row r="182" spans="1:15" ht="16" x14ac:dyDescent="0.2">
      <c r="A182" t="s">
        <v>371</v>
      </c>
      <c r="B182" s="1">
        <v>1326779.8600000001</v>
      </c>
      <c r="C182" s="1">
        <v>73369.86</v>
      </c>
      <c r="D182" s="1">
        <v>21159.55</v>
      </c>
      <c r="E182" s="1">
        <v>46044</v>
      </c>
      <c r="F182" s="6">
        <v>1.5934727651811311</v>
      </c>
      <c r="G182" t="s">
        <v>358</v>
      </c>
      <c r="H182" t="s">
        <v>132</v>
      </c>
      <c r="I182" t="s">
        <v>372</v>
      </c>
      <c r="J182" s="1">
        <v>28.815477803839809</v>
      </c>
      <c r="K182" s="1">
        <v>620.38604400000463</v>
      </c>
      <c r="L182" s="2">
        <v>8.455598034397294E-3</v>
      </c>
      <c r="M182">
        <v>0.86</v>
      </c>
      <c r="N182">
        <v>0.84</v>
      </c>
      <c r="O182">
        <v>1.69</v>
      </c>
    </row>
    <row r="183" spans="1:15" ht="16" x14ac:dyDescent="0.2">
      <c r="A183" t="s">
        <v>425</v>
      </c>
      <c r="B183" s="1">
        <v>601172.15</v>
      </c>
      <c r="C183" s="1">
        <v>51594.42</v>
      </c>
      <c r="D183" s="1">
        <v>11347.9</v>
      </c>
      <c r="E183" s="1">
        <v>28853</v>
      </c>
      <c r="F183" s="6">
        <v>1.7881821647662288</v>
      </c>
      <c r="G183" t="s">
        <v>358</v>
      </c>
      <c r="H183" t="s">
        <v>125</v>
      </c>
      <c r="I183" t="s">
        <v>426</v>
      </c>
      <c r="J183" s="1">
        <v>20.835689529684956</v>
      </c>
      <c r="K183" s="1">
        <v>43.890166999998598</v>
      </c>
      <c r="L183" s="2">
        <v>8.5067662355732651E-4</v>
      </c>
      <c r="M183">
        <v>0.85</v>
      </c>
      <c r="N183" t="s">
        <v>544</v>
      </c>
      <c r="O183">
        <v>1.66</v>
      </c>
    </row>
    <row r="184" spans="1:15" ht="16" x14ac:dyDescent="0.2">
      <c r="A184" t="s">
        <v>427</v>
      </c>
      <c r="B184" s="1">
        <v>748242.6</v>
      </c>
      <c r="C184" s="1">
        <v>50633.94</v>
      </c>
      <c r="D184" s="1">
        <v>12120.880000000001</v>
      </c>
      <c r="E184" s="1">
        <v>28331</v>
      </c>
      <c r="F184" s="6">
        <v>1.7872274187286012</v>
      </c>
      <c r="G184" t="s">
        <v>358</v>
      </c>
      <c r="H184" t="s">
        <v>119</v>
      </c>
      <c r="I184" t="s">
        <v>428</v>
      </c>
      <c r="J184" s="1">
        <v>26.410737354840986</v>
      </c>
      <c r="K184" s="1">
        <v>16.047209000000379</v>
      </c>
      <c r="L184" s="2">
        <v>3.1692593939954857E-4</v>
      </c>
      <c r="M184">
        <v>0.82</v>
      </c>
      <c r="N184">
        <v>0.82</v>
      </c>
      <c r="O184">
        <v>0.89</v>
      </c>
    </row>
    <row r="185" spans="1:15" ht="16" x14ac:dyDescent="0.2">
      <c r="A185" t="s">
        <v>429</v>
      </c>
      <c r="B185" s="1">
        <v>788031.20000000007</v>
      </c>
      <c r="C185" s="1">
        <v>61300.56</v>
      </c>
      <c r="D185" s="1">
        <v>11915.57</v>
      </c>
      <c r="E185" s="1">
        <v>34321</v>
      </c>
      <c r="F185" s="6">
        <v>1.7860948107572623</v>
      </c>
      <c r="G185" t="s">
        <v>358</v>
      </c>
      <c r="H185" t="s">
        <v>127</v>
      </c>
      <c r="I185" t="s">
        <v>430</v>
      </c>
      <c r="J185" s="1">
        <v>22.960613035750708</v>
      </c>
      <c r="K185" s="1">
        <v>0</v>
      </c>
      <c r="L185" s="2">
        <v>0</v>
      </c>
      <c r="M185">
        <v>0.86</v>
      </c>
      <c r="N185">
        <v>1.56</v>
      </c>
      <c r="O185">
        <v>0.86</v>
      </c>
    </row>
    <row r="186" spans="1:15" ht="16" x14ac:dyDescent="0.2">
      <c r="A186" t="s">
        <v>431</v>
      </c>
      <c r="B186" s="1">
        <v>694495.53</v>
      </c>
      <c r="C186" s="1">
        <v>50496.34</v>
      </c>
      <c r="D186" s="1">
        <v>10704.16</v>
      </c>
      <c r="E186" s="1">
        <v>28924</v>
      </c>
      <c r="F186" s="6">
        <v>1.745828377817729</v>
      </c>
      <c r="G186" t="s">
        <v>358</v>
      </c>
      <c r="H186" t="s">
        <v>129</v>
      </c>
      <c r="I186" t="s">
        <v>432</v>
      </c>
      <c r="J186" s="1">
        <v>24.011047227216153</v>
      </c>
      <c r="K186" s="1">
        <v>0</v>
      </c>
      <c r="L186" s="2">
        <v>0</v>
      </c>
      <c r="M186">
        <v>0.72</v>
      </c>
      <c r="N186">
        <v>1</v>
      </c>
      <c r="O186">
        <v>0.84</v>
      </c>
    </row>
    <row r="187" spans="1:15" ht="16" x14ac:dyDescent="0.2">
      <c r="A187" t="s">
        <v>433</v>
      </c>
      <c r="B187" s="1">
        <v>590891.1</v>
      </c>
      <c r="C187" s="1">
        <v>51657.35</v>
      </c>
      <c r="D187" s="1">
        <v>12531.41</v>
      </c>
      <c r="E187" s="1">
        <v>29647</v>
      </c>
      <c r="F187" s="6">
        <v>1.7424140722501433</v>
      </c>
      <c r="G187" t="s">
        <v>358</v>
      </c>
      <c r="H187" t="s">
        <v>206</v>
      </c>
      <c r="I187" t="s">
        <v>434</v>
      </c>
      <c r="J187" s="1">
        <v>19.930890140655041</v>
      </c>
      <c r="K187" s="1">
        <v>0</v>
      </c>
      <c r="L187" s="2">
        <v>0</v>
      </c>
      <c r="M187">
        <v>0.87</v>
      </c>
      <c r="N187">
        <v>0.87</v>
      </c>
      <c r="O187">
        <v>0.9</v>
      </c>
    </row>
    <row r="188" spans="1:15" ht="16" x14ac:dyDescent="0.2">
      <c r="A188" t="s">
        <v>435</v>
      </c>
      <c r="B188" s="1">
        <v>551246.71</v>
      </c>
      <c r="C188" s="1">
        <v>37824.590000000004</v>
      </c>
      <c r="D188" s="1">
        <v>7945.68</v>
      </c>
      <c r="E188" s="1">
        <v>21792</v>
      </c>
      <c r="F188" s="6">
        <v>1.7357098935389135</v>
      </c>
      <c r="G188" t="s">
        <v>358</v>
      </c>
      <c r="H188" t="s">
        <v>127</v>
      </c>
      <c r="I188" t="s">
        <v>436</v>
      </c>
      <c r="J188" s="1">
        <v>25.295829203377384</v>
      </c>
      <c r="K188" s="1">
        <v>0</v>
      </c>
      <c r="L188" s="2">
        <v>0</v>
      </c>
      <c r="M188">
        <v>0.82</v>
      </c>
      <c r="N188">
        <v>0.39</v>
      </c>
      <c r="O188" t="s">
        <v>544</v>
      </c>
    </row>
    <row r="189" spans="1:15" ht="16" x14ac:dyDescent="0.2">
      <c r="A189" t="s">
        <v>437</v>
      </c>
      <c r="B189" s="1">
        <v>643264.53</v>
      </c>
      <c r="C189" s="1">
        <v>55017.599999999999</v>
      </c>
      <c r="D189" s="1">
        <v>13508.58</v>
      </c>
      <c r="E189" s="1">
        <v>32842</v>
      </c>
      <c r="F189" s="6">
        <v>1.6752207539126727</v>
      </c>
      <c r="G189" t="s">
        <v>358</v>
      </c>
      <c r="H189" t="s">
        <v>124</v>
      </c>
      <c r="I189" t="s">
        <v>368</v>
      </c>
      <c r="J189" s="1">
        <v>19.586643018086598</v>
      </c>
      <c r="K189" s="1">
        <v>0</v>
      </c>
      <c r="L189" s="2">
        <v>0</v>
      </c>
      <c r="M189">
        <v>0.88</v>
      </c>
      <c r="N189">
        <v>0.89</v>
      </c>
      <c r="O189">
        <v>0.7</v>
      </c>
    </row>
    <row r="190" spans="1:15" ht="16" x14ac:dyDescent="0.2">
      <c r="A190" t="s">
        <v>438</v>
      </c>
      <c r="B190" s="1">
        <v>713014.73</v>
      </c>
      <c r="C190" s="1">
        <v>53333.48</v>
      </c>
      <c r="D190" s="1">
        <v>15548.59</v>
      </c>
      <c r="E190" s="1">
        <v>32092</v>
      </c>
      <c r="F190" s="6">
        <v>1.6618933067431136</v>
      </c>
      <c r="G190" t="s">
        <v>358</v>
      </c>
      <c r="H190" t="s">
        <v>127</v>
      </c>
      <c r="I190" t="s">
        <v>439</v>
      </c>
      <c r="J190" s="1">
        <v>22.217834039636045</v>
      </c>
      <c r="K190" s="1">
        <v>0</v>
      </c>
      <c r="L190" s="2">
        <v>0</v>
      </c>
      <c r="M190">
        <v>0.13</v>
      </c>
      <c r="N190">
        <v>2.74</v>
      </c>
      <c r="O190" t="s">
        <v>544</v>
      </c>
    </row>
    <row r="191" spans="1:15" ht="16" x14ac:dyDescent="0.2">
      <c r="A191" t="s">
        <v>440</v>
      </c>
      <c r="B191" s="1">
        <v>617239.34</v>
      </c>
      <c r="C191" s="1">
        <v>45631.839999999997</v>
      </c>
      <c r="D191" s="1">
        <v>11857.9</v>
      </c>
      <c r="E191" s="1">
        <v>28081</v>
      </c>
      <c r="F191" s="6">
        <v>1.625007656422492</v>
      </c>
      <c r="G191" t="s">
        <v>358</v>
      </c>
      <c r="H191" t="s">
        <v>128</v>
      </c>
      <c r="I191" t="s">
        <v>441</v>
      </c>
      <c r="J191" s="1">
        <v>21.980675189629999</v>
      </c>
      <c r="K191" s="1">
        <v>0</v>
      </c>
      <c r="L191" s="2">
        <v>0</v>
      </c>
      <c r="M191">
        <v>0.73</v>
      </c>
      <c r="N191">
        <v>0.89</v>
      </c>
      <c r="O191" t="s">
        <v>544</v>
      </c>
    </row>
    <row r="192" spans="1:15" ht="16" x14ac:dyDescent="0.2">
      <c r="A192" t="s">
        <v>442</v>
      </c>
      <c r="B192" s="1">
        <v>823170.43</v>
      </c>
      <c r="C192" s="1">
        <v>44771.18</v>
      </c>
      <c r="D192" s="1">
        <v>7771.14</v>
      </c>
      <c r="E192" s="1">
        <v>28111</v>
      </c>
      <c r="F192" s="6">
        <v>1.5926569670235851</v>
      </c>
      <c r="G192" t="s">
        <v>358</v>
      </c>
      <c r="H192" t="s">
        <v>125</v>
      </c>
      <c r="I192" t="s">
        <v>443</v>
      </c>
      <c r="J192" s="1">
        <v>29.282858311692934</v>
      </c>
      <c r="K192" s="1">
        <v>0</v>
      </c>
      <c r="L192" s="2">
        <v>0</v>
      </c>
      <c r="M192">
        <v>0.91</v>
      </c>
      <c r="N192" t="s">
        <v>544</v>
      </c>
      <c r="O192">
        <v>0.88</v>
      </c>
    </row>
    <row r="193" spans="1:15" ht="16" x14ac:dyDescent="0.2">
      <c r="A193" t="s">
        <v>16</v>
      </c>
      <c r="B193" s="1">
        <v>610019.94000000006</v>
      </c>
      <c r="C193" s="1">
        <v>55525.42</v>
      </c>
      <c r="D193" s="1">
        <v>9060.39</v>
      </c>
      <c r="E193" s="1">
        <v>35146</v>
      </c>
      <c r="F193" s="6">
        <v>1.5798503385876059</v>
      </c>
      <c r="G193" t="s">
        <v>358</v>
      </c>
      <c r="H193" t="s">
        <v>128</v>
      </c>
      <c r="I193" t="s">
        <v>444</v>
      </c>
      <c r="J193" s="1">
        <v>17.356738746941332</v>
      </c>
      <c r="K193" s="1">
        <v>0</v>
      </c>
      <c r="L193" s="2">
        <v>0</v>
      </c>
      <c r="M193">
        <v>0.92</v>
      </c>
      <c r="N193">
        <v>0.77</v>
      </c>
      <c r="O193">
        <v>0.67</v>
      </c>
    </row>
    <row r="194" spans="1:15" ht="16" x14ac:dyDescent="0.2">
      <c r="A194" t="s">
        <v>373</v>
      </c>
      <c r="B194" s="1">
        <v>897243.2</v>
      </c>
      <c r="C194" s="1">
        <v>70119.27</v>
      </c>
      <c r="D194" s="1">
        <v>25418.89</v>
      </c>
      <c r="E194" s="1">
        <v>44761</v>
      </c>
      <c r="F194" s="6">
        <v>1.5665259936105091</v>
      </c>
      <c r="G194" t="s">
        <v>358</v>
      </c>
      <c r="H194" t="s">
        <v>132</v>
      </c>
      <c r="I194" t="s">
        <v>374</v>
      </c>
      <c r="J194" s="1">
        <v>20.045200062554454</v>
      </c>
      <c r="K194" s="1">
        <v>0</v>
      </c>
      <c r="L194" s="2">
        <v>0</v>
      </c>
      <c r="M194">
        <v>0.65</v>
      </c>
      <c r="N194">
        <v>1.77</v>
      </c>
      <c r="O194">
        <v>1.74</v>
      </c>
    </row>
    <row r="195" spans="1:15" ht="16" x14ac:dyDescent="0.2">
      <c r="A195" t="s">
        <v>445</v>
      </c>
      <c r="B195" s="1">
        <v>705965.3</v>
      </c>
      <c r="C195" s="1">
        <v>40988.589999999997</v>
      </c>
      <c r="D195" s="1">
        <v>8962.7000000000007</v>
      </c>
      <c r="E195" s="1">
        <v>26417</v>
      </c>
      <c r="F195" s="6">
        <v>1.5515989703599953</v>
      </c>
      <c r="G195" t="s">
        <v>358</v>
      </c>
      <c r="H195" t="s">
        <v>129</v>
      </c>
      <c r="I195" t="s">
        <v>446</v>
      </c>
      <c r="J195" s="1">
        <v>26.723901275693684</v>
      </c>
      <c r="K195" s="1">
        <v>0</v>
      </c>
      <c r="L195" s="2">
        <v>0</v>
      </c>
      <c r="M195">
        <v>0.7</v>
      </c>
      <c r="N195">
        <v>0.78</v>
      </c>
      <c r="O195" t="s">
        <v>544</v>
      </c>
    </row>
    <row r="196" spans="1:15" ht="16" x14ac:dyDescent="0.2">
      <c r="A196" t="s">
        <v>447</v>
      </c>
      <c r="B196" s="1">
        <v>795743.71</v>
      </c>
      <c r="C196" s="1">
        <v>68914.36</v>
      </c>
      <c r="D196" s="1">
        <v>14859.23</v>
      </c>
      <c r="E196" s="1">
        <v>44578</v>
      </c>
      <c r="F196" s="6">
        <v>1.5459275875992642</v>
      </c>
      <c r="G196" t="s">
        <v>358</v>
      </c>
      <c r="H196" t="s">
        <v>127</v>
      </c>
      <c r="I196" t="s">
        <v>448</v>
      </c>
      <c r="J196" s="1">
        <v>17.850592444703665</v>
      </c>
      <c r="K196" s="1">
        <v>0</v>
      </c>
      <c r="L196" s="2">
        <v>0</v>
      </c>
      <c r="M196">
        <v>0.75</v>
      </c>
      <c r="N196">
        <v>1.24</v>
      </c>
      <c r="O196">
        <v>0.68</v>
      </c>
    </row>
    <row r="197" spans="1:15" ht="16" x14ac:dyDescent="0.2">
      <c r="A197" t="s">
        <v>375</v>
      </c>
      <c r="B197" s="1">
        <v>1317744.42</v>
      </c>
      <c r="C197" s="1">
        <v>78815.37</v>
      </c>
      <c r="D197" s="1">
        <v>17779.77</v>
      </c>
      <c r="E197" s="1">
        <v>51064</v>
      </c>
      <c r="F197" s="6">
        <v>1.5434625176249412</v>
      </c>
      <c r="G197" t="s">
        <v>358</v>
      </c>
      <c r="H197" t="s">
        <v>127</v>
      </c>
      <c r="I197" t="s">
        <v>376</v>
      </c>
      <c r="J197" s="1">
        <v>25.805742205859314</v>
      </c>
      <c r="K197" s="1">
        <v>0</v>
      </c>
      <c r="L197" s="2">
        <v>0</v>
      </c>
      <c r="M197">
        <v>0.84</v>
      </c>
      <c r="N197">
        <v>1.78</v>
      </c>
      <c r="O197">
        <v>1.7</v>
      </c>
    </row>
    <row r="198" spans="1:15" ht="16" x14ac:dyDescent="0.2">
      <c r="A198" t="s">
        <v>377</v>
      </c>
      <c r="B198" s="1">
        <v>948419.72</v>
      </c>
      <c r="C198" s="1">
        <v>74468.320000000007</v>
      </c>
      <c r="D198" s="1">
        <v>15369.95</v>
      </c>
      <c r="E198" s="1">
        <v>48467</v>
      </c>
      <c r="F198" s="6">
        <v>1.5364747147543691</v>
      </c>
      <c r="G198" t="s">
        <v>358</v>
      </c>
      <c r="H198" t="s">
        <v>124</v>
      </c>
      <c r="I198" t="s">
        <v>378</v>
      </c>
      <c r="J198" s="1">
        <v>19.568360327645614</v>
      </c>
      <c r="K198" s="1">
        <v>0</v>
      </c>
      <c r="L198" s="2">
        <v>0</v>
      </c>
      <c r="M198">
        <v>0.63</v>
      </c>
      <c r="N198">
        <v>0.9</v>
      </c>
      <c r="O198">
        <v>1.86</v>
      </c>
    </row>
    <row r="199" spans="1:15" ht="16" x14ac:dyDescent="0.2">
      <c r="A199" t="s">
        <v>379</v>
      </c>
      <c r="B199" s="1">
        <v>1256894.6200000001</v>
      </c>
      <c r="C199" s="1">
        <v>80350.259999999995</v>
      </c>
      <c r="D199" s="1">
        <v>20065.809999999998</v>
      </c>
      <c r="E199" s="1">
        <v>53373</v>
      </c>
      <c r="F199" s="6">
        <v>1.5054476982744083</v>
      </c>
      <c r="G199" t="s">
        <v>358</v>
      </c>
      <c r="H199" t="s">
        <v>121</v>
      </c>
      <c r="I199" t="s">
        <v>380</v>
      </c>
      <c r="J199" s="1">
        <v>23.549259363348511</v>
      </c>
      <c r="K199" s="1">
        <v>0</v>
      </c>
      <c r="L199" s="2">
        <v>0</v>
      </c>
      <c r="M199">
        <v>0.88</v>
      </c>
      <c r="N199">
        <v>2.09</v>
      </c>
      <c r="O199">
        <v>0.9</v>
      </c>
    </row>
    <row r="200" spans="1:15" ht="16" x14ac:dyDescent="0.2">
      <c r="A200" t="s">
        <v>381</v>
      </c>
      <c r="B200" s="1">
        <v>1334212.54</v>
      </c>
      <c r="C200" s="1">
        <v>79977.27</v>
      </c>
      <c r="D200" s="1">
        <v>17011.46</v>
      </c>
      <c r="E200" s="1">
        <v>53316</v>
      </c>
      <c r="F200" s="6">
        <v>1.5000613324330407</v>
      </c>
      <c r="G200" t="s">
        <v>358</v>
      </c>
      <c r="H200" t="s">
        <v>206</v>
      </c>
      <c r="I200" t="s">
        <v>382</v>
      </c>
      <c r="J200" s="1">
        <v>25.024618125890914</v>
      </c>
      <c r="K200" s="1">
        <v>0</v>
      </c>
      <c r="L200" s="2">
        <v>0</v>
      </c>
      <c r="M200">
        <v>0.82</v>
      </c>
      <c r="N200">
        <v>1.1499999999999999</v>
      </c>
      <c r="O200">
        <v>1.74</v>
      </c>
    </row>
    <row r="201" spans="1:15" ht="16" x14ac:dyDescent="0.2">
      <c r="A201" t="s">
        <v>449</v>
      </c>
      <c r="B201" s="1">
        <v>756741.96</v>
      </c>
      <c r="C201" s="1">
        <v>58392.52</v>
      </c>
      <c r="D201" s="1">
        <v>21100.74</v>
      </c>
      <c r="E201" s="1">
        <v>39820</v>
      </c>
      <c r="F201" s="6">
        <v>1.4664118533400301</v>
      </c>
      <c r="G201" t="s">
        <v>358</v>
      </c>
      <c r="H201" t="s">
        <v>120</v>
      </c>
      <c r="I201" t="s">
        <v>227</v>
      </c>
      <c r="J201" s="1">
        <v>19.004067302862882</v>
      </c>
      <c r="K201" s="1">
        <v>0</v>
      </c>
      <c r="L201" s="2">
        <v>0</v>
      </c>
      <c r="M201">
        <v>0.85</v>
      </c>
      <c r="N201">
        <v>0.85</v>
      </c>
      <c r="O201">
        <v>1.08</v>
      </c>
    </row>
    <row r="202" spans="1:15" ht="16" x14ac:dyDescent="0.2">
      <c r="A202" t="s">
        <v>450</v>
      </c>
      <c r="B202" s="1">
        <v>603941.56000000006</v>
      </c>
      <c r="C202" s="1">
        <v>44286.04</v>
      </c>
      <c r="D202" s="1">
        <v>9627.380000000001</v>
      </c>
      <c r="E202" s="1">
        <v>30296</v>
      </c>
      <c r="F202" s="6">
        <v>1.4617784526010034</v>
      </c>
      <c r="G202" t="s">
        <v>358</v>
      </c>
      <c r="H202" t="s">
        <v>127</v>
      </c>
      <c r="I202" t="s">
        <v>451</v>
      </c>
      <c r="J202" s="1">
        <v>19.934696329548458</v>
      </c>
      <c r="K202" s="1">
        <v>0</v>
      </c>
      <c r="L202" s="2">
        <v>0</v>
      </c>
      <c r="M202">
        <v>0.88</v>
      </c>
      <c r="N202" t="s">
        <v>544</v>
      </c>
      <c r="O202">
        <v>0.9</v>
      </c>
    </row>
    <row r="203" spans="1:15" ht="16" x14ac:dyDescent="0.2">
      <c r="A203" t="s">
        <v>452</v>
      </c>
      <c r="B203" s="1">
        <v>728647.58</v>
      </c>
      <c r="C203" s="1">
        <v>47727.27</v>
      </c>
      <c r="D203" s="1">
        <v>13548.31</v>
      </c>
      <c r="E203" s="1">
        <v>32778</v>
      </c>
      <c r="F203" s="6">
        <v>1.4560763316858867</v>
      </c>
      <c r="G203" t="s">
        <v>358</v>
      </c>
      <c r="H203" t="s">
        <v>129</v>
      </c>
      <c r="I203" t="s">
        <v>453</v>
      </c>
      <c r="J203" s="1">
        <v>22.22977545914943</v>
      </c>
      <c r="K203" s="1">
        <v>0</v>
      </c>
      <c r="L203" s="2">
        <v>0</v>
      </c>
      <c r="M203">
        <v>0.68</v>
      </c>
      <c r="N203">
        <v>0.77</v>
      </c>
      <c r="O203">
        <v>0.73</v>
      </c>
    </row>
    <row r="204" spans="1:15" ht="16" x14ac:dyDescent="0.2">
      <c r="A204" t="s">
        <v>383</v>
      </c>
      <c r="B204" s="1">
        <v>1035234.78</v>
      </c>
      <c r="C204" s="1">
        <v>55899.4</v>
      </c>
      <c r="D204" s="1">
        <v>14190.5</v>
      </c>
      <c r="E204" s="1">
        <v>39834</v>
      </c>
      <c r="F204" s="6">
        <v>1.4033087312346237</v>
      </c>
      <c r="G204" t="s">
        <v>358</v>
      </c>
      <c r="H204" t="s">
        <v>127</v>
      </c>
      <c r="I204" t="s">
        <v>384</v>
      </c>
      <c r="J204" s="1">
        <v>25.988722699201688</v>
      </c>
      <c r="K204" s="1">
        <v>0</v>
      </c>
      <c r="L204" s="2">
        <v>0</v>
      </c>
      <c r="M204">
        <v>0.22</v>
      </c>
      <c r="N204">
        <v>1.83</v>
      </c>
      <c r="O204">
        <v>1.61</v>
      </c>
    </row>
    <row r="205" spans="1:15" ht="16" x14ac:dyDescent="0.2">
      <c r="A205" t="s">
        <v>25</v>
      </c>
      <c r="B205" s="1">
        <v>1167196.3</v>
      </c>
      <c r="C205" s="1">
        <v>75585.34</v>
      </c>
      <c r="D205" s="1">
        <v>13753.67</v>
      </c>
      <c r="E205" s="1">
        <v>54404</v>
      </c>
      <c r="F205" s="6">
        <v>1.3893342401294022</v>
      </c>
      <c r="G205" t="s">
        <v>358</v>
      </c>
      <c r="H205" t="s">
        <v>206</v>
      </c>
      <c r="I205" t="s">
        <v>385</v>
      </c>
      <c r="J205" s="1">
        <v>21.454236820822</v>
      </c>
      <c r="K205" s="1">
        <v>0</v>
      </c>
      <c r="L205" s="2">
        <v>0</v>
      </c>
      <c r="M205">
        <v>0.83</v>
      </c>
      <c r="N205">
        <v>0.83</v>
      </c>
      <c r="O205">
        <v>1.64</v>
      </c>
    </row>
    <row r="206" spans="1:15" ht="16" x14ac:dyDescent="0.2">
      <c r="A206" t="s">
        <v>386</v>
      </c>
      <c r="B206" s="1">
        <v>1277806.1200000001</v>
      </c>
      <c r="C206" s="1">
        <v>58769.979999999996</v>
      </c>
      <c r="D206" s="1">
        <v>19181.32</v>
      </c>
      <c r="E206" s="1">
        <v>43586</v>
      </c>
      <c r="F206" s="6">
        <v>1.3483682833937503</v>
      </c>
      <c r="G206" t="s">
        <v>358</v>
      </c>
      <c r="H206" t="s">
        <v>131</v>
      </c>
      <c r="I206" t="s">
        <v>387</v>
      </c>
      <c r="J206" s="1">
        <v>29.316893497912176</v>
      </c>
      <c r="K206" s="1">
        <v>0</v>
      </c>
      <c r="L206" s="2">
        <v>0</v>
      </c>
      <c r="M206">
        <v>0.89</v>
      </c>
      <c r="N206">
        <v>1.07</v>
      </c>
      <c r="O206">
        <v>0.81</v>
      </c>
    </row>
    <row r="207" spans="1:15" ht="16" x14ac:dyDescent="0.2">
      <c r="A207" t="s">
        <v>15</v>
      </c>
      <c r="B207" s="1">
        <v>1326786.58</v>
      </c>
      <c r="C207" s="1">
        <v>70503.66</v>
      </c>
      <c r="D207" s="1">
        <v>21634.42</v>
      </c>
      <c r="E207" s="1">
        <v>52628</v>
      </c>
      <c r="F207" s="6">
        <v>1.3396606369233108</v>
      </c>
      <c r="G207" t="s">
        <v>358</v>
      </c>
      <c r="H207" t="s">
        <v>127</v>
      </c>
      <c r="I207" t="s">
        <v>388</v>
      </c>
      <c r="J207" s="1">
        <v>25.210659344835449</v>
      </c>
      <c r="K207" s="1">
        <v>0</v>
      </c>
      <c r="L207" s="2">
        <v>0</v>
      </c>
      <c r="M207">
        <v>0.77</v>
      </c>
      <c r="N207">
        <v>0.84</v>
      </c>
      <c r="O207">
        <v>1.75</v>
      </c>
    </row>
    <row r="208" spans="1:15" ht="16" x14ac:dyDescent="0.2">
      <c r="A208" t="s">
        <v>389</v>
      </c>
      <c r="B208" s="1">
        <v>1385152.83</v>
      </c>
      <c r="C208" s="1">
        <v>80483.520000000004</v>
      </c>
      <c r="D208" s="1">
        <v>22447.759999999998</v>
      </c>
      <c r="E208" s="1">
        <v>60096</v>
      </c>
      <c r="F208" s="6">
        <v>1.3392492012779553</v>
      </c>
      <c r="G208" t="s">
        <v>358</v>
      </c>
      <c r="H208" t="s">
        <v>130</v>
      </c>
      <c r="I208" t="s">
        <v>390</v>
      </c>
      <c r="J208" s="1">
        <v>23.049002096645367</v>
      </c>
      <c r="K208" s="1">
        <v>0</v>
      </c>
      <c r="L208" s="2">
        <v>0</v>
      </c>
      <c r="M208">
        <v>0.85</v>
      </c>
      <c r="N208">
        <v>1.43</v>
      </c>
      <c r="O208">
        <v>1.52</v>
      </c>
    </row>
    <row r="209" spans="1:15" ht="16" x14ac:dyDescent="0.2">
      <c r="A209" t="s">
        <v>391</v>
      </c>
      <c r="B209" s="1">
        <v>1089791.95</v>
      </c>
      <c r="C209" s="1">
        <v>75953.509999999995</v>
      </c>
      <c r="D209" s="1">
        <v>18553</v>
      </c>
      <c r="E209" s="1">
        <v>56724</v>
      </c>
      <c r="F209" s="6">
        <v>1.3390013045624427</v>
      </c>
      <c r="G209" t="s">
        <v>358</v>
      </c>
      <c r="H209" t="s">
        <v>122</v>
      </c>
      <c r="I209" t="s">
        <v>392</v>
      </c>
      <c r="J209" s="1">
        <v>19.212184436922641</v>
      </c>
      <c r="K209" s="1">
        <v>0</v>
      </c>
      <c r="L209" s="2">
        <v>0</v>
      </c>
      <c r="M209">
        <v>0.9</v>
      </c>
      <c r="N209">
        <v>0.95</v>
      </c>
      <c r="O209">
        <v>0.68</v>
      </c>
    </row>
    <row r="210" spans="1:15" ht="16" x14ac:dyDescent="0.2">
      <c r="A210" t="s">
        <v>393</v>
      </c>
      <c r="B210" s="1">
        <v>1639331.34</v>
      </c>
      <c r="C210" s="1">
        <v>61772.4</v>
      </c>
      <c r="D210" s="1">
        <v>20651.02</v>
      </c>
      <c r="E210" s="1">
        <v>47441</v>
      </c>
      <c r="F210" s="6">
        <v>1.3020889104361206</v>
      </c>
      <c r="G210" t="s">
        <v>358</v>
      </c>
      <c r="H210" t="s">
        <v>132</v>
      </c>
      <c r="I210" t="s">
        <v>394</v>
      </c>
      <c r="J210" s="1">
        <v>34.555159882801796</v>
      </c>
      <c r="K210" s="1">
        <v>0</v>
      </c>
      <c r="L210" s="2">
        <v>0</v>
      </c>
      <c r="M210">
        <v>0.86</v>
      </c>
      <c r="N210">
        <v>0.85</v>
      </c>
      <c r="O210">
        <v>0.86</v>
      </c>
    </row>
    <row r="211" spans="1:15" ht="16" x14ac:dyDescent="0.2">
      <c r="A211" t="s">
        <v>395</v>
      </c>
      <c r="B211" s="1">
        <v>1328007.95</v>
      </c>
      <c r="C211" s="1">
        <v>70008.570000000007</v>
      </c>
      <c r="D211" s="1">
        <v>23250.89</v>
      </c>
      <c r="E211" s="1">
        <v>54235</v>
      </c>
      <c r="F211" s="6">
        <v>1.2908374665806215</v>
      </c>
      <c r="G211" t="s">
        <v>358</v>
      </c>
      <c r="H211" t="s">
        <v>122</v>
      </c>
      <c r="I211" t="s">
        <v>396</v>
      </c>
      <c r="J211" s="1">
        <v>24.486179588826403</v>
      </c>
      <c r="K211" s="1">
        <v>0</v>
      </c>
      <c r="L211" s="2">
        <v>0</v>
      </c>
      <c r="M211">
        <v>0.8</v>
      </c>
      <c r="N211">
        <v>0.93</v>
      </c>
      <c r="O211">
        <v>1.67</v>
      </c>
    </row>
    <row r="212" spans="1:15" ht="16" x14ac:dyDescent="0.2">
      <c r="A212" t="s">
        <v>397</v>
      </c>
      <c r="B212" s="1">
        <v>1241637</v>
      </c>
      <c r="C212" s="1">
        <v>65494.15</v>
      </c>
      <c r="D212" s="1">
        <v>24104.55</v>
      </c>
      <c r="E212" s="1">
        <v>51594</v>
      </c>
      <c r="F212" s="6">
        <v>1.2694140791564912</v>
      </c>
      <c r="G212" t="s">
        <v>358</v>
      </c>
      <c r="H212" t="s">
        <v>122</v>
      </c>
      <c r="I212" t="s">
        <v>392</v>
      </c>
      <c r="J212" s="1">
        <v>24.065530875683219</v>
      </c>
      <c r="K212" s="1">
        <v>0</v>
      </c>
      <c r="L212" s="2">
        <v>0</v>
      </c>
      <c r="M212">
        <v>0.99</v>
      </c>
      <c r="N212">
        <v>0.26</v>
      </c>
      <c r="O212">
        <v>1.76</v>
      </c>
    </row>
    <row r="213" spans="1:15" ht="16" x14ac:dyDescent="0.2">
      <c r="A213" t="s">
        <v>398</v>
      </c>
      <c r="B213" s="1">
        <v>999598.71</v>
      </c>
      <c r="C213" s="1">
        <v>61790.19</v>
      </c>
      <c r="D213" s="1">
        <v>19997.759999999998</v>
      </c>
      <c r="E213" s="1">
        <v>50808</v>
      </c>
      <c r="F213" s="6">
        <v>1.216150803023146</v>
      </c>
      <c r="G213" t="s">
        <v>358</v>
      </c>
      <c r="H213" t="s">
        <v>125</v>
      </c>
      <c r="I213" t="s">
        <v>399</v>
      </c>
      <c r="J213" s="1">
        <v>19.674041686348605</v>
      </c>
      <c r="K213" s="1">
        <v>0</v>
      </c>
      <c r="L213" s="2">
        <v>0</v>
      </c>
      <c r="M213">
        <v>0.85</v>
      </c>
      <c r="N213">
        <v>0.87</v>
      </c>
      <c r="O213">
        <v>0.92</v>
      </c>
    </row>
    <row r="214" spans="1:15" ht="16" x14ac:dyDescent="0.2">
      <c r="A214" t="s">
        <v>400</v>
      </c>
      <c r="B214" s="1">
        <v>935881.20000000007</v>
      </c>
      <c r="C214" s="1">
        <v>54407.65</v>
      </c>
      <c r="D214" s="1">
        <v>20290.7</v>
      </c>
      <c r="E214" s="1">
        <v>46017</v>
      </c>
      <c r="F214" s="6">
        <v>1.182338048981898</v>
      </c>
      <c r="G214" t="s">
        <v>358</v>
      </c>
      <c r="H214" t="s">
        <v>130</v>
      </c>
      <c r="I214" t="s">
        <v>401</v>
      </c>
      <c r="J214" s="1">
        <v>20.337727361627227</v>
      </c>
      <c r="K214" s="1">
        <v>0</v>
      </c>
      <c r="L214" s="2">
        <v>0</v>
      </c>
      <c r="M214">
        <v>0.6</v>
      </c>
      <c r="N214">
        <v>0.85</v>
      </c>
      <c r="O214">
        <v>1.34</v>
      </c>
    </row>
    <row r="215" spans="1:15" ht="16" x14ac:dyDescent="0.2">
      <c r="A215" t="s">
        <v>454</v>
      </c>
      <c r="B215" s="1">
        <v>603625.94999999995</v>
      </c>
      <c r="C215" s="1">
        <v>42347.49</v>
      </c>
      <c r="D215" s="1">
        <v>8012.52</v>
      </c>
      <c r="E215" s="1">
        <v>29305</v>
      </c>
      <c r="F215" s="6">
        <v>1.4450602286299266</v>
      </c>
      <c r="G215" t="s">
        <v>358</v>
      </c>
      <c r="H215" t="s">
        <v>122</v>
      </c>
      <c r="I215" t="s">
        <v>392</v>
      </c>
      <c r="J215" s="1">
        <v>20.598053233236648</v>
      </c>
      <c r="K215" s="1">
        <v>-161.40524000000457</v>
      </c>
      <c r="L215" s="2">
        <v>3.8114476206265019E-3</v>
      </c>
      <c r="M215">
        <v>0.08</v>
      </c>
      <c r="N215">
        <v>1.26</v>
      </c>
      <c r="O215">
        <v>0.63</v>
      </c>
    </row>
    <row r="216" spans="1:15" ht="16" x14ac:dyDescent="0.2">
      <c r="A216" t="s">
        <v>455</v>
      </c>
      <c r="B216" s="1">
        <v>585069.37</v>
      </c>
      <c r="C216" s="1">
        <v>57026</v>
      </c>
      <c r="D216" s="1">
        <v>11891.25</v>
      </c>
      <c r="E216" s="1">
        <v>39481</v>
      </c>
      <c r="F216" s="6">
        <v>1.4443909728730275</v>
      </c>
      <c r="G216" t="s">
        <v>358</v>
      </c>
      <c r="H216" t="s">
        <v>126</v>
      </c>
      <c r="I216" t="s">
        <v>456</v>
      </c>
      <c r="J216" s="1">
        <v>14.819010916643448</v>
      </c>
      <c r="K216" s="1">
        <v>-243.87520800000306</v>
      </c>
      <c r="L216" s="2">
        <v>4.2765617086943332E-3</v>
      </c>
      <c r="M216">
        <v>0.74</v>
      </c>
      <c r="N216">
        <v>0.81</v>
      </c>
      <c r="O216">
        <v>1.75</v>
      </c>
    </row>
    <row r="217" spans="1:15" ht="16" x14ac:dyDescent="0.2">
      <c r="A217" t="s">
        <v>402</v>
      </c>
      <c r="B217" s="1">
        <v>1086709.4099999999</v>
      </c>
      <c r="C217" s="1">
        <v>59182.81</v>
      </c>
      <c r="D217" s="1">
        <v>18803.55</v>
      </c>
      <c r="E217" s="1">
        <v>51256</v>
      </c>
      <c r="F217" s="6">
        <v>1.1546513578898079</v>
      </c>
      <c r="G217" t="s">
        <v>358</v>
      </c>
      <c r="H217" t="s">
        <v>130</v>
      </c>
      <c r="I217" t="s">
        <v>403</v>
      </c>
      <c r="J217" s="1">
        <v>21.201603909786169</v>
      </c>
      <c r="K217" s="1">
        <v>-709.56972000001031</v>
      </c>
      <c r="L217" s="2">
        <v>1.1989456397896794E-2</v>
      </c>
      <c r="M217">
        <v>0.86</v>
      </c>
      <c r="N217">
        <v>0.89</v>
      </c>
      <c r="O217">
        <v>1.6</v>
      </c>
    </row>
    <row r="218" spans="1:15" ht="16" x14ac:dyDescent="0.2">
      <c r="A218" t="s">
        <v>404</v>
      </c>
      <c r="B218" s="1">
        <v>1370745.42</v>
      </c>
      <c r="C218" s="1">
        <v>77293.77</v>
      </c>
      <c r="D218" s="1">
        <v>22021.08</v>
      </c>
      <c r="E218" s="1">
        <v>67242</v>
      </c>
      <c r="F218" s="6">
        <v>1.1494864816632462</v>
      </c>
      <c r="G218" t="s">
        <v>358</v>
      </c>
      <c r="H218" t="s">
        <v>119</v>
      </c>
      <c r="I218" t="s">
        <v>405</v>
      </c>
      <c r="J218" s="1">
        <v>20.385256536093511</v>
      </c>
      <c r="K218" s="1">
        <v>-1278.1707900000042</v>
      </c>
      <c r="L218" s="2">
        <v>1.6536530563847567E-2</v>
      </c>
      <c r="M218">
        <v>0.86</v>
      </c>
      <c r="N218">
        <v>0.81</v>
      </c>
      <c r="O218">
        <v>1.78</v>
      </c>
    </row>
    <row r="219" spans="1:15" ht="16" x14ac:dyDescent="0.2">
      <c r="A219" t="s">
        <v>406</v>
      </c>
      <c r="B219" s="1">
        <v>979672.37</v>
      </c>
      <c r="C219" s="1">
        <v>60449.599999999999</v>
      </c>
      <c r="D219" s="1">
        <v>15905.77</v>
      </c>
      <c r="E219" s="1">
        <v>53369</v>
      </c>
      <c r="F219" s="6">
        <v>1.13267252524874</v>
      </c>
      <c r="G219" t="s">
        <v>358</v>
      </c>
      <c r="H219" t="s">
        <v>129</v>
      </c>
      <c r="I219" t="s">
        <v>407</v>
      </c>
      <c r="J219" s="1">
        <v>18.356580973973657</v>
      </c>
      <c r="K219" s="1">
        <v>-1911.8096550000005</v>
      </c>
      <c r="L219" s="2">
        <v>3.1626506296154162E-2</v>
      </c>
      <c r="M219">
        <v>0.92</v>
      </c>
      <c r="N219">
        <v>1.35</v>
      </c>
      <c r="O219">
        <v>0.85</v>
      </c>
    </row>
    <row r="220" spans="1:15" ht="16" x14ac:dyDescent="0.2">
      <c r="A220" t="s">
        <v>457</v>
      </c>
      <c r="B220" s="1">
        <v>653959.5</v>
      </c>
      <c r="C220" s="1">
        <v>52915.590000000004</v>
      </c>
      <c r="D220" s="1">
        <v>11491.94</v>
      </c>
      <c r="E220" s="1">
        <v>38000</v>
      </c>
      <c r="F220" s="6">
        <v>1.3925155263157896</v>
      </c>
      <c r="G220" t="s">
        <v>358</v>
      </c>
      <c r="H220" t="s">
        <v>128</v>
      </c>
      <c r="I220" t="s">
        <v>407</v>
      </c>
      <c r="J220" s="1">
        <v>17.209460526315791</v>
      </c>
      <c r="K220" s="1">
        <v>-2205.9939999999997</v>
      </c>
      <c r="L220" s="2">
        <v>4.1688923812434095E-2</v>
      </c>
      <c r="M220">
        <v>0.67</v>
      </c>
      <c r="N220">
        <v>1.45</v>
      </c>
      <c r="O220" t="s">
        <v>544</v>
      </c>
    </row>
    <row r="221" spans="1:15" ht="16" x14ac:dyDescent="0.2">
      <c r="A221" t="s">
        <v>458</v>
      </c>
      <c r="B221" s="1">
        <v>628511.61</v>
      </c>
      <c r="C221" s="1">
        <v>56888.09</v>
      </c>
      <c r="D221" s="1">
        <v>12543.369999999999</v>
      </c>
      <c r="E221" s="1">
        <v>41228</v>
      </c>
      <c r="F221" s="6">
        <v>1.3798411273891529</v>
      </c>
      <c r="G221" t="s">
        <v>358</v>
      </c>
      <c r="H221" t="s">
        <v>206</v>
      </c>
      <c r="I221" t="s">
        <v>459</v>
      </c>
      <c r="J221" s="1">
        <v>15.244775637915978</v>
      </c>
      <c r="K221" s="1">
        <v>-2915.9275040000084</v>
      </c>
      <c r="L221" s="2">
        <v>5.1257257960321899E-2</v>
      </c>
      <c r="M221">
        <v>0.97</v>
      </c>
      <c r="N221">
        <v>0.88</v>
      </c>
      <c r="O221">
        <v>0.79</v>
      </c>
    </row>
    <row r="222" spans="1:15" ht="16" x14ac:dyDescent="0.2">
      <c r="A222" t="s">
        <v>408</v>
      </c>
      <c r="B222" s="1">
        <v>1057700.99</v>
      </c>
      <c r="C222" s="1">
        <v>60164.33</v>
      </c>
      <c r="D222" s="1">
        <v>14641.75</v>
      </c>
      <c r="E222" s="1">
        <v>54176</v>
      </c>
      <c r="F222" s="6">
        <v>1.1105347386296516</v>
      </c>
      <c r="G222" t="s">
        <v>358</v>
      </c>
      <c r="H222" t="s">
        <v>132</v>
      </c>
      <c r="I222" t="s">
        <v>409</v>
      </c>
      <c r="J222" s="1">
        <v>19.523423471647963</v>
      </c>
      <c r="K222" s="1">
        <v>-3140.0551199999995</v>
      </c>
      <c r="L222" s="2">
        <v>5.2191308704011154E-2</v>
      </c>
      <c r="M222">
        <v>0.9</v>
      </c>
      <c r="N222">
        <v>0.74</v>
      </c>
      <c r="O222">
        <v>0.88</v>
      </c>
    </row>
    <row r="223" spans="1:15" ht="16" x14ac:dyDescent="0.2">
      <c r="A223" t="s">
        <v>410</v>
      </c>
      <c r="B223" s="1">
        <v>1049067.6400000001</v>
      </c>
      <c r="C223" s="1">
        <v>52770.42</v>
      </c>
      <c r="D223" s="1">
        <v>18723.87</v>
      </c>
      <c r="E223" s="1">
        <v>50552</v>
      </c>
      <c r="F223" s="6">
        <v>1.0438839215065674</v>
      </c>
      <c r="G223" t="s">
        <v>358</v>
      </c>
      <c r="H223" t="s">
        <v>123</v>
      </c>
      <c r="I223" t="s">
        <v>411</v>
      </c>
      <c r="J223" s="1">
        <v>20.75224798227568</v>
      </c>
      <c r="K223" s="1">
        <v>-6299.3392400000084</v>
      </c>
      <c r="L223" s="2">
        <v>0.11937254317854602</v>
      </c>
      <c r="M223">
        <v>0.6</v>
      </c>
      <c r="N223">
        <v>0.44</v>
      </c>
      <c r="O223">
        <v>0.91</v>
      </c>
    </row>
    <row r="224" spans="1:15" ht="16" x14ac:dyDescent="0.2">
      <c r="A224" t="s">
        <v>20</v>
      </c>
      <c r="B224" s="1">
        <v>744650.05999999994</v>
      </c>
      <c r="C224" s="1">
        <v>49397.2</v>
      </c>
      <c r="D224" s="1">
        <v>13892.27</v>
      </c>
      <c r="E224" s="1">
        <v>42016</v>
      </c>
      <c r="F224" s="6">
        <v>1.1756759329779132</v>
      </c>
      <c r="G224" t="s">
        <v>358</v>
      </c>
      <c r="H224" t="s">
        <v>130</v>
      </c>
      <c r="I224" t="s">
        <v>460</v>
      </c>
      <c r="J224" s="1">
        <v>17.723011709824828</v>
      </c>
      <c r="K224" s="1">
        <v>-11549.865088000004</v>
      </c>
      <c r="L224" s="2">
        <v>0.23381618974354831</v>
      </c>
      <c r="M224">
        <v>0.68</v>
      </c>
      <c r="N224">
        <v>0.79</v>
      </c>
      <c r="O224">
        <v>0.86</v>
      </c>
    </row>
    <row r="225" spans="1:15" ht="16" x14ac:dyDescent="0.2">
      <c r="A225" t="s">
        <v>413</v>
      </c>
      <c r="B225" s="1">
        <v>1285394.94</v>
      </c>
      <c r="C225" s="1">
        <v>58262.61</v>
      </c>
      <c r="D225" s="1">
        <v>18686.54</v>
      </c>
      <c r="E225" s="1">
        <v>60571</v>
      </c>
      <c r="F225" s="6">
        <v>0.96188951808621292</v>
      </c>
      <c r="G225" t="s">
        <v>358</v>
      </c>
      <c r="H225" t="s">
        <v>130</v>
      </c>
      <c r="I225" t="s">
        <v>401</v>
      </c>
      <c r="J225" s="1">
        <v>21.221293028016706</v>
      </c>
      <c r="K225" s="1">
        <v>-12514.300645000001</v>
      </c>
      <c r="L225" s="2">
        <v>0.21479128114926538</v>
      </c>
      <c r="M225">
        <v>0.89</v>
      </c>
      <c r="N225">
        <v>0.6</v>
      </c>
      <c r="O225">
        <v>0.89</v>
      </c>
    </row>
    <row r="226" spans="1:15" ht="16" x14ac:dyDescent="0.2">
      <c r="A226" t="s">
        <v>46</v>
      </c>
      <c r="B226" s="1">
        <v>2060350.74</v>
      </c>
      <c r="C226" s="1">
        <v>95159.81</v>
      </c>
      <c r="D226" s="1">
        <v>25918.15</v>
      </c>
      <c r="E226" s="1">
        <v>93136</v>
      </c>
      <c r="F226" s="6">
        <v>1.0217296211991067</v>
      </c>
      <c r="G226" t="s">
        <v>358</v>
      </c>
      <c r="H226" t="s">
        <v>126</v>
      </c>
      <c r="I226" t="s">
        <v>412</v>
      </c>
      <c r="J226" s="1">
        <v>22.121958641126955</v>
      </c>
      <c r="K226" s="1">
        <v>-13669.140320000004</v>
      </c>
      <c r="L226" s="2">
        <v>0.1436440480492763</v>
      </c>
      <c r="M226">
        <v>0.78</v>
      </c>
      <c r="N226">
        <v>2.54</v>
      </c>
      <c r="O226">
        <v>1.7</v>
      </c>
    </row>
    <row r="227" spans="1:15" ht="16" x14ac:dyDescent="0.2">
      <c r="A227" t="s">
        <v>461</v>
      </c>
      <c r="B227" s="1">
        <v>558203.03</v>
      </c>
      <c r="C227" s="1">
        <v>38015.08</v>
      </c>
      <c r="D227" s="1">
        <v>13770.91</v>
      </c>
      <c r="E227" s="1">
        <v>35985</v>
      </c>
      <c r="F227" s="6">
        <v>1.0564146172016118</v>
      </c>
      <c r="G227" t="s">
        <v>358</v>
      </c>
      <c r="H227" t="s">
        <v>129</v>
      </c>
      <c r="I227" t="s">
        <v>462</v>
      </c>
      <c r="J227" s="1">
        <v>15.51210309851327</v>
      </c>
      <c r="K227" s="1">
        <v>-14183.609480000003</v>
      </c>
      <c r="L227" s="2">
        <v>0.37310481735143008</v>
      </c>
      <c r="M227">
        <v>0.87</v>
      </c>
      <c r="N227" t="s">
        <v>544</v>
      </c>
      <c r="O227">
        <v>0.77</v>
      </c>
    </row>
    <row r="228" spans="1:15" ht="16" x14ac:dyDescent="0.2">
      <c r="A228" t="s">
        <v>463</v>
      </c>
      <c r="B228" s="1">
        <v>711704.30999999994</v>
      </c>
      <c r="C228" s="1">
        <v>40733.89</v>
      </c>
      <c r="D228" s="1">
        <v>4368.6000000000004</v>
      </c>
      <c r="E228" s="1">
        <v>41684</v>
      </c>
      <c r="F228" s="6">
        <v>0.97720684195374719</v>
      </c>
      <c r="G228" t="s">
        <v>358</v>
      </c>
      <c r="H228" t="s">
        <v>123</v>
      </c>
      <c r="I228" t="s">
        <v>464</v>
      </c>
      <c r="J228" s="1">
        <v>17.073800738892619</v>
      </c>
      <c r="K228" s="1">
        <v>-19731.586512000005</v>
      </c>
      <c r="L228" s="2">
        <v>0.48440221427415858</v>
      </c>
      <c r="M228">
        <v>0.11</v>
      </c>
      <c r="N228" t="s">
        <v>544</v>
      </c>
      <c r="O228">
        <v>0.89</v>
      </c>
    </row>
    <row r="229" spans="1:15" ht="16" x14ac:dyDescent="0.2">
      <c r="A229" t="s">
        <v>414</v>
      </c>
      <c r="B229" s="1">
        <v>1331400.3</v>
      </c>
      <c r="C229" s="1">
        <v>83059.7</v>
      </c>
      <c r="D229" s="1">
        <v>23722.31</v>
      </c>
      <c r="E229" s="1">
        <v>91665</v>
      </c>
      <c r="F229" s="6">
        <v>0.9061222931326024</v>
      </c>
      <c r="G229" t="s">
        <v>358</v>
      </c>
      <c r="H229" t="s">
        <v>128</v>
      </c>
      <c r="I229" t="s">
        <v>415</v>
      </c>
      <c r="J229" s="1">
        <v>14.524630993290788</v>
      </c>
      <c r="K229" s="1">
        <v>-24050.394175000009</v>
      </c>
      <c r="L229" s="2">
        <v>0.28955551458770029</v>
      </c>
      <c r="M229">
        <v>0.84</v>
      </c>
      <c r="N229">
        <v>1.81</v>
      </c>
      <c r="O229">
        <v>1.78</v>
      </c>
    </row>
    <row r="231" spans="1:15" ht="19" x14ac:dyDescent="0.25">
      <c r="A231" s="4" t="s">
        <v>537</v>
      </c>
      <c r="F231" t="e">
        <f>CORREL(F170:F229,#REF!)</f>
        <v>#REF!</v>
      </c>
    </row>
    <row r="233" spans="1:15" x14ac:dyDescent="0.2">
      <c r="A233" t="s">
        <v>0</v>
      </c>
      <c r="B233" s="3" t="s">
        <v>1</v>
      </c>
      <c r="C233" s="3" t="s">
        <v>2</v>
      </c>
      <c r="D233" s="3" t="s">
        <v>3</v>
      </c>
      <c r="E233" s="3" t="s">
        <v>4</v>
      </c>
      <c r="F233" s="3" t="s">
        <v>5</v>
      </c>
      <c r="G233" t="s">
        <v>6</v>
      </c>
      <c r="H233" t="s">
        <v>7</v>
      </c>
      <c r="I233" t="s">
        <v>8</v>
      </c>
      <c r="J233" s="3" t="s">
        <v>9</v>
      </c>
      <c r="K233" t="s">
        <v>10</v>
      </c>
      <c r="L233" t="s">
        <v>11</v>
      </c>
    </row>
    <row r="234" spans="1:15" ht="16" x14ac:dyDescent="0.2">
      <c r="A234" t="s">
        <v>465</v>
      </c>
      <c r="B234" s="1">
        <v>836936.62</v>
      </c>
      <c r="C234" s="1">
        <v>66728.87</v>
      </c>
      <c r="D234" s="1">
        <v>10329.31</v>
      </c>
      <c r="E234" s="1">
        <v>33214</v>
      </c>
      <c r="F234" s="6">
        <v>2.0090585295357379</v>
      </c>
      <c r="G234" t="s">
        <v>466</v>
      </c>
      <c r="H234" t="s">
        <v>120</v>
      </c>
      <c r="I234" t="s">
        <v>467</v>
      </c>
      <c r="J234" s="1">
        <v>25.198308544589629</v>
      </c>
      <c r="K234" s="1">
        <v>17976.696520000001</v>
      </c>
      <c r="L234" s="2">
        <v>0.26939908498375592</v>
      </c>
      <c r="M234">
        <v>0.89</v>
      </c>
      <c r="N234">
        <v>1.18</v>
      </c>
      <c r="O234">
        <v>1.64</v>
      </c>
    </row>
    <row r="235" spans="1:15" ht="16" x14ac:dyDescent="0.2">
      <c r="A235" t="s">
        <v>483</v>
      </c>
      <c r="B235" s="1">
        <v>602925.05000000005</v>
      </c>
      <c r="C235" s="1">
        <v>47213.65</v>
      </c>
      <c r="D235" s="1">
        <v>9431.65</v>
      </c>
      <c r="E235" s="1">
        <v>18585</v>
      </c>
      <c r="F235" s="6">
        <v>2.540417002959376</v>
      </c>
      <c r="G235" t="s">
        <v>466</v>
      </c>
      <c r="H235" t="s">
        <v>124</v>
      </c>
      <c r="I235" t="s">
        <v>484</v>
      </c>
      <c r="J235" s="1">
        <v>32.441487758945385</v>
      </c>
      <c r="K235" s="1">
        <v>15106.947400000003</v>
      </c>
      <c r="L235" s="2">
        <v>0.31996991124388818</v>
      </c>
      <c r="M235">
        <v>0.77</v>
      </c>
      <c r="N235">
        <v>0.18</v>
      </c>
      <c r="O235">
        <v>0.93</v>
      </c>
    </row>
    <row r="236" spans="1:15" ht="16" x14ac:dyDescent="0.2">
      <c r="A236" t="s">
        <v>513</v>
      </c>
      <c r="B236" s="1">
        <v>351078.24</v>
      </c>
      <c r="C236" s="1">
        <v>37668.74</v>
      </c>
      <c r="D236" s="1">
        <v>8815.39</v>
      </c>
      <c r="E236" s="1">
        <v>16076</v>
      </c>
      <c r="F236" s="6">
        <v>2.3431662105001241</v>
      </c>
      <c r="G236" t="s">
        <v>466</v>
      </c>
      <c r="H236" t="s">
        <v>119</v>
      </c>
      <c r="I236" t="s">
        <v>514</v>
      </c>
      <c r="J236" s="1">
        <v>21.838656382184624</v>
      </c>
      <c r="K236" s="1">
        <v>5369.8053599999957</v>
      </c>
      <c r="L236" s="2">
        <v>0.14255335750545403</v>
      </c>
      <c r="M236">
        <v>0.85</v>
      </c>
      <c r="N236" t="s">
        <v>544</v>
      </c>
      <c r="O236">
        <v>0.85</v>
      </c>
    </row>
    <row r="237" spans="1:15" ht="16" x14ac:dyDescent="0.2">
      <c r="A237" t="s">
        <v>485</v>
      </c>
      <c r="B237" s="1">
        <v>562927.49</v>
      </c>
      <c r="C237" s="1">
        <v>52189.7</v>
      </c>
      <c r="D237" s="1">
        <v>15067.19</v>
      </c>
      <c r="E237" s="1">
        <v>27204</v>
      </c>
      <c r="F237" s="6">
        <v>1.918456844581679</v>
      </c>
      <c r="G237" t="s">
        <v>466</v>
      </c>
      <c r="H237" t="s">
        <v>123</v>
      </c>
      <c r="I237" t="s">
        <v>486</v>
      </c>
      <c r="J237" s="1">
        <v>20.692820541096896</v>
      </c>
      <c r="K237" s="1">
        <v>5193.1577599999955</v>
      </c>
      <c r="L237" s="2">
        <v>9.9505415053161753E-2</v>
      </c>
      <c r="M237">
        <v>0.87</v>
      </c>
      <c r="N237">
        <v>0.35</v>
      </c>
      <c r="O237">
        <v>0.73</v>
      </c>
    </row>
    <row r="238" spans="1:15" ht="16" x14ac:dyDescent="0.2">
      <c r="A238" t="s">
        <v>487</v>
      </c>
      <c r="B238" s="1">
        <v>586071.68000000005</v>
      </c>
      <c r="C238" s="1">
        <v>50330.28</v>
      </c>
      <c r="D238" s="1">
        <v>11044.73</v>
      </c>
      <c r="E238" s="1">
        <v>26396</v>
      </c>
      <c r="F238" s="6">
        <v>1.9067388998333081</v>
      </c>
      <c r="G238" t="s">
        <v>466</v>
      </c>
      <c r="H238" t="s">
        <v>127</v>
      </c>
      <c r="I238" t="s">
        <v>488</v>
      </c>
      <c r="J238" s="1">
        <v>22.203048946810124</v>
      </c>
      <c r="K238" s="1">
        <v>4729.6062400000019</v>
      </c>
      <c r="L238" s="2">
        <v>9.3971387403368356E-2</v>
      </c>
      <c r="M238">
        <v>0.8</v>
      </c>
      <c r="N238">
        <v>1.64</v>
      </c>
      <c r="O238" t="s">
        <v>544</v>
      </c>
    </row>
    <row r="239" spans="1:15" ht="16" x14ac:dyDescent="0.2">
      <c r="A239" t="s">
        <v>515</v>
      </c>
      <c r="B239" s="1">
        <v>360058.17</v>
      </c>
      <c r="C239" s="1">
        <v>43351.040000000001</v>
      </c>
      <c r="D239" s="1">
        <v>8529.76</v>
      </c>
      <c r="E239" s="1">
        <v>20016</v>
      </c>
      <c r="F239" s="6">
        <v>2.1658193445243805</v>
      </c>
      <c r="G239" t="s">
        <v>466</v>
      </c>
      <c r="H239" t="s">
        <v>120</v>
      </c>
      <c r="I239" t="s">
        <v>257</v>
      </c>
      <c r="J239" s="1">
        <v>17.988517685851317</v>
      </c>
      <c r="K239" s="1">
        <v>3136.093760000002</v>
      </c>
      <c r="L239" s="2">
        <v>7.2341834475020711E-2</v>
      </c>
      <c r="M239">
        <v>0.85</v>
      </c>
      <c r="N239">
        <v>0.95</v>
      </c>
      <c r="O239" t="s">
        <v>544</v>
      </c>
    </row>
    <row r="240" spans="1:15" ht="16" x14ac:dyDescent="0.2">
      <c r="A240" t="s">
        <v>468</v>
      </c>
      <c r="B240" s="1">
        <v>822214.42</v>
      </c>
      <c r="C240" s="1">
        <v>53768.71</v>
      </c>
      <c r="D240" s="1">
        <v>13579.31</v>
      </c>
      <c r="E240" s="1">
        <v>35606</v>
      </c>
      <c r="F240" s="6">
        <v>1.5101025108127843</v>
      </c>
      <c r="G240" t="s">
        <v>466</v>
      </c>
      <c r="H240" t="s">
        <v>131</v>
      </c>
      <c r="I240" t="s">
        <v>469</v>
      </c>
      <c r="J240" s="1">
        <v>23.092018760882997</v>
      </c>
      <c r="K240" s="1">
        <v>1505.5110800000029</v>
      </c>
      <c r="L240" s="2">
        <v>2.7999761943331036E-2</v>
      </c>
      <c r="M240">
        <v>0.64</v>
      </c>
      <c r="N240">
        <v>0.25</v>
      </c>
      <c r="O240">
        <v>0.86</v>
      </c>
    </row>
    <row r="241" spans="1:15" ht="16" x14ac:dyDescent="0.2">
      <c r="A241" t="s">
        <v>516</v>
      </c>
      <c r="B241" s="1">
        <v>479768.42</v>
      </c>
      <c r="C241" s="1">
        <v>67705.78</v>
      </c>
      <c r="D241" s="1">
        <v>13035.25</v>
      </c>
      <c r="E241" s="1">
        <v>33198</v>
      </c>
      <c r="F241" s="6">
        <v>2.0394535815410566</v>
      </c>
      <c r="G241" t="s">
        <v>466</v>
      </c>
      <c r="H241" t="s">
        <v>131</v>
      </c>
      <c r="I241" t="s">
        <v>517</v>
      </c>
      <c r="J241" s="1">
        <v>14.451726610036749</v>
      </c>
      <c r="K241" s="1">
        <v>1006.3502799999995</v>
      </c>
      <c r="L241" s="2">
        <v>1.4863580037036713E-2</v>
      </c>
      <c r="M241">
        <v>0.88</v>
      </c>
      <c r="N241">
        <v>0.9</v>
      </c>
      <c r="O241">
        <v>1.86</v>
      </c>
    </row>
    <row r="242" spans="1:15" ht="16" x14ac:dyDescent="0.2">
      <c r="A242" t="s">
        <v>489</v>
      </c>
      <c r="B242" s="1">
        <v>669128.77</v>
      </c>
      <c r="C242" s="1">
        <v>59240.06</v>
      </c>
      <c r="D242" s="1">
        <v>14797.96</v>
      </c>
      <c r="E242" s="1">
        <v>33728</v>
      </c>
      <c r="F242" s="6">
        <v>1.7564059535104364</v>
      </c>
      <c r="G242" t="s">
        <v>466</v>
      </c>
      <c r="H242" t="s">
        <v>124</v>
      </c>
      <c r="I242" t="s">
        <v>490</v>
      </c>
      <c r="J242" s="1">
        <v>19.838969698766604</v>
      </c>
      <c r="K242" s="1">
        <v>972.91631999999868</v>
      </c>
      <c r="L242" s="2">
        <v>1.6423283838672659E-2</v>
      </c>
      <c r="M242">
        <v>0.74</v>
      </c>
      <c r="N242">
        <v>1.32</v>
      </c>
      <c r="O242">
        <v>0.24</v>
      </c>
    </row>
    <row r="243" spans="1:15" ht="16" x14ac:dyDescent="0.2">
      <c r="A243" t="s">
        <v>470</v>
      </c>
      <c r="B243" s="1">
        <v>977581.32000000007</v>
      </c>
      <c r="C243" s="1">
        <v>80668.59</v>
      </c>
      <c r="D243" s="1">
        <v>23106.01</v>
      </c>
      <c r="E243" s="1">
        <v>54958</v>
      </c>
      <c r="F243" s="6">
        <v>1.4678225190145202</v>
      </c>
      <c r="G243" t="s">
        <v>466</v>
      </c>
      <c r="H243" t="s">
        <v>206</v>
      </c>
      <c r="I243" t="s">
        <v>471</v>
      </c>
      <c r="J243" s="1">
        <v>17.787789220859565</v>
      </c>
      <c r="K243" s="1">
        <v>0.13844000000708734</v>
      </c>
      <c r="L243" s="2">
        <v>1.7161574288962698E-6</v>
      </c>
      <c r="M243">
        <v>0.87</v>
      </c>
      <c r="N243">
        <v>1.85</v>
      </c>
      <c r="O243">
        <v>1.74</v>
      </c>
    </row>
    <row r="244" spans="1:15" ht="16" x14ac:dyDescent="0.2">
      <c r="A244" t="s">
        <v>491</v>
      </c>
      <c r="B244" s="1">
        <v>612589.38</v>
      </c>
      <c r="C244" s="1">
        <v>48152.35</v>
      </c>
      <c r="D244" s="1">
        <v>11339.16</v>
      </c>
      <c r="E244" s="1">
        <v>27873</v>
      </c>
      <c r="F244" s="6">
        <v>1.7275625156961933</v>
      </c>
      <c r="G244" t="s">
        <v>466</v>
      </c>
      <c r="H244" t="s">
        <v>206</v>
      </c>
      <c r="I244" t="s">
        <v>492</v>
      </c>
      <c r="J244" s="1">
        <v>21.97787751587558</v>
      </c>
      <c r="K244" s="1">
        <v>7.0119999997563687E-2</v>
      </c>
      <c r="L244" s="2">
        <v>1.456211379040975E-6</v>
      </c>
      <c r="M244">
        <v>0.52</v>
      </c>
      <c r="N244">
        <v>1.3</v>
      </c>
      <c r="O244">
        <v>0.89</v>
      </c>
    </row>
    <row r="245" spans="1:15" ht="16" x14ac:dyDescent="0.2">
      <c r="A245" t="s">
        <v>518</v>
      </c>
      <c r="B245" s="1">
        <v>337548.86</v>
      </c>
      <c r="C245" s="1">
        <v>42565.57</v>
      </c>
      <c r="D245" s="1">
        <v>9444.86</v>
      </c>
      <c r="E245" s="1">
        <v>21186</v>
      </c>
      <c r="F245" s="6">
        <v>2.009136694043236</v>
      </c>
      <c r="G245" t="s">
        <v>466</v>
      </c>
      <c r="H245" t="s">
        <v>206</v>
      </c>
      <c r="I245" t="s">
        <v>434</v>
      </c>
      <c r="J245" s="1">
        <v>15.932637590861889</v>
      </c>
      <c r="K245" s="1">
        <v>0</v>
      </c>
      <c r="L245" s="2">
        <v>0</v>
      </c>
      <c r="M245">
        <v>0.24</v>
      </c>
      <c r="N245">
        <v>0.86</v>
      </c>
      <c r="O245">
        <v>0.55000000000000004</v>
      </c>
    </row>
    <row r="246" spans="1:15" ht="16" x14ac:dyDescent="0.2">
      <c r="A246" t="s">
        <v>519</v>
      </c>
      <c r="B246" s="1">
        <v>419088.24</v>
      </c>
      <c r="C246" s="1">
        <v>32204.73</v>
      </c>
      <c r="D246" s="1">
        <v>8856.2000000000007</v>
      </c>
      <c r="E246" s="1">
        <v>17066</v>
      </c>
      <c r="F246" s="6">
        <v>1.8870696120942223</v>
      </c>
      <c r="G246" t="s">
        <v>466</v>
      </c>
      <c r="H246" t="s">
        <v>122</v>
      </c>
      <c r="I246" t="s">
        <v>520</v>
      </c>
      <c r="J246" s="1">
        <v>24.556910816828783</v>
      </c>
      <c r="K246" s="1">
        <v>0</v>
      </c>
      <c r="L246" s="2">
        <v>0</v>
      </c>
      <c r="M246">
        <v>0.91</v>
      </c>
      <c r="N246" t="s">
        <v>544</v>
      </c>
      <c r="O246" t="s">
        <v>544</v>
      </c>
    </row>
    <row r="247" spans="1:15" ht="16" x14ac:dyDescent="0.2">
      <c r="A247" t="s">
        <v>521</v>
      </c>
      <c r="B247" s="1">
        <v>408536.79</v>
      </c>
      <c r="C247" s="1">
        <v>35429.410000000003</v>
      </c>
      <c r="D247" s="1">
        <v>10636.68</v>
      </c>
      <c r="E247" s="1">
        <v>19069</v>
      </c>
      <c r="F247" s="6">
        <v>1.8579584666212179</v>
      </c>
      <c r="G247" t="s">
        <v>466</v>
      </c>
      <c r="H247" t="s">
        <v>132</v>
      </c>
      <c r="I247" t="s">
        <v>522</v>
      </c>
      <c r="J247" s="1">
        <v>21.424132885835647</v>
      </c>
      <c r="K247" s="1">
        <v>0</v>
      </c>
      <c r="L247" s="2">
        <v>0</v>
      </c>
      <c r="M247">
        <v>0.24</v>
      </c>
      <c r="N247">
        <v>0.8</v>
      </c>
      <c r="O247" t="s">
        <v>544</v>
      </c>
    </row>
    <row r="248" spans="1:15" ht="16" x14ac:dyDescent="0.2">
      <c r="A248" t="s">
        <v>57</v>
      </c>
      <c r="B248" s="1">
        <v>452842.38</v>
      </c>
      <c r="C248" s="1">
        <v>30789.1</v>
      </c>
      <c r="D248" s="1">
        <v>8015</v>
      </c>
      <c r="E248" s="1">
        <v>17022</v>
      </c>
      <c r="F248" s="6">
        <v>1.8087827517330513</v>
      </c>
      <c r="G248" t="s">
        <v>466</v>
      </c>
      <c r="H248" t="s">
        <v>122</v>
      </c>
      <c r="I248" t="s">
        <v>523</v>
      </c>
      <c r="J248" s="1">
        <v>26.603359182234755</v>
      </c>
      <c r="K248" s="1">
        <v>0</v>
      </c>
      <c r="L248" s="2">
        <v>0</v>
      </c>
      <c r="M248">
        <v>0.84</v>
      </c>
      <c r="N248" t="s">
        <v>544</v>
      </c>
      <c r="O248" t="s">
        <v>544</v>
      </c>
    </row>
    <row r="249" spans="1:15" ht="16" x14ac:dyDescent="0.2">
      <c r="A249" t="s">
        <v>524</v>
      </c>
      <c r="B249" s="1">
        <v>421425.35</v>
      </c>
      <c r="C249" s="1">
        <v>36410.910000000003</v>
      </c>
      <c r="D249" s="1">
        <v>8898.25</v>
      </c>
      <c r="E249" s="1">
        <v>20560</v>
      </c>
      <c r="F249" s="6">
        <v>1.7709586575875489</v>
      </c>
      <c r="G249" t="s">
        <v>466</v>
      </c>
      <c r="H249" t="s">
        <v>126</v>
      </c>
      <c r="I249" t="s">
        <v>525</v>
      </c>
      <c r="J249" s="1">
        <v>20.497341926070039</v>
      </c>
      <c r="K249" s="1">
        <v>0</v>
      </c>
      <c r="L249" s="2">
        <v>0</v>
      </c>
      <c r="M249">
        <v>0.87</v>
      </c>
      <c r="N249" t="s">
        <v>544</v>
      </c>
      <c r="O249">
        <v>0.88</v>
      </c>
    </row>
    <row r="250" spans="1:15" ht="16" x14ac:dyDescent="0.2">
      <c r="A250" t="s">
        <v>51</v>
      </c>
      <c r="B250" s="1">
        <v>434328.33</v>
      </c>
      <c r="C250" s="1">
        <v>44351.79</v>
      </c>
      <c r="D250" s="1">
        <v>10702.38</v>
      </c>
      <c r="E250" s="1">
        <v>25753</v>
      </c>
      <c r="F250" s="6">
        <v>1.7221989671106279</v>
      </c>
      <c r="G250" t="s">
        <v>466</v>
      </c>
      <c r="H250" t="s">
        <v>122</v>
      </c>
      <c r="I250" t="s">
        <v>526</v>
      </c>
      <c r="J250" s="1">
        <v>16.865154739253679</v>
      </c>
      <c r="K250" s="1">
        <v>0</v>
      </c>
      <c r="L250" s="2">
        <v>0</v>
      </c>
      <c r="M250">
        <v>0.82</v>
      </c>
      <c r="N250" t="s">
        <v>544</v>
      </c>
      <c r="O250">
        <v>0.92</v>
      </c>
    </row>
    <row r="251" spans="1:15" ht="16" x14ac:dyDescent="0.2">
      <c r="A251" t="s">
        <v>527</v>
      </c>
      <c r="B251" s="1">
        <v>461217.7</v>
      </c>
      <c r="C251" s="1">
        <v>46477.68</v>
      </c>
      <c r="D251" s="1">
        <v>11347.33</v>
      </c>
      <c r="E251" s="1">
        <v>27485</v>
      </c>
      <c r="F251" s="6">
        <v>1.691019828997635</v>
      </c>
      <c r="G251" t="s">
        <v>466</v>
      </c>
      <c r="H251" t="s">
        <v>119</v>
      </c>
      <c r="I251" t="s">
        <v>528</v>
      </c>
      <c r="J251" s="1">
        <v>16.780705839548844</v>
      </c>
      <c r="K251" s="1">
        <v>0</v>
      </c>
      <c r="L251" s="2">
        <v>0</v>
      </c>
      <c r="M251">
        <v>0.78</v>
      </c>
      <c r="N251">
        <v>0.91</v>
      </c>
      <c r="O251">
        <v>0.82</v>
      </c>
    </row>
    <row r="252" spans="1:15" ht="16" x14ac:dyDescent="0.2">
      <c r="A252" t="s">
        <v>529</v>
      </c>
      <c r="B252" s="1">
        <v>447896.08</v>
      </c>
      <c r="C252" s="1">
        <v>36540.449999999997</v>
      </c>
      <c r="D252" s="1">
        <v>7704.76</v>
      </c>
      <c r="E252" s="1">
        <v>21966</v>
      </c>
      <c r="F252" s="6">
        <v>1.6635004097241191</v>
      </c>
      <c r="G252" t="s">
        <v>466</v>
      </c>
      <c r="H252" t="s">
        <v>131</v>
      </c>
      <c r="I252" t="s">
        <v>530</v>
      </c>
      <c r="J252" s="1">
        <v>20.390425202585813</v>
      </c>
      <c r="K252" s="1">
        <v>0</v>
      </c>
      <c r="L252" s="2">
        <v>0</v>
      </c>
      <c r="M252">
        <v>0.89</v>
      </c>
      <c r="N252">
        <v>0.11</v>
      </c>
      <c r="O252">
        <v>0.63</v>
      </c>
    </row>
    <row r="253" spans="1:15" ht="16" x14ac:dyDescent="0.2">
      <c r="A253" t="s">
        <v>493</v>
      </c>
      <c r="B253" s="1">
        <v>617803.66</v>
      </c>
      <c r="C253" s="1">
        <v>46050.659999999996</v>
      </c>
      <c r="D253" s="1">
        <v>9853.75</v>
      </c>
      <c r="E253" s="1">
        <v>28256</v>
      </c>
      <c r="F253" s="6">
        <v>1.6297657134767836</v>
      </c>
      <c r="G253" t="s">
        <v>466</v>
      </c>
      <c r="H253" t="s">
        <v>127</v>
      </c>
      <c r="I253" t="s">
        <v>488</v>
      </c>
      <c r="J253" s="1">
        <v>21.864512315968291</v>
      </c>
      <c r="K253" s="1">
        <v>0</v>
      </c>
      <c r="L253" s="2">
        <v>0</v>
      </c>
      <c r="M253">
        <v>0.8</v>
      </c>
      <c r="N253">
        <v>0.57999999999999996</v>
      </c>
      <c r="O253">
        <v>0.84</v>
      </c>
    </row>
    <row r="254" spans="1:15" ht="16" x14ac:dyDescent="0.2">
      <c r="A254" t="s">
        <v>494</v>
      </c>
      <c r="B254" s="1">
        <v>599693.37</v>
      </c>
      <c r="C254" s="1">
        <v>44143.9</v>
      </c>
      <c r="D254" s="1">
        <v>9739.01</v>
      </c>
      <c r="E254" s="1">
        <v>27521</v>
      </c>
      <c r="F254" s="6">
        <v>1.6040078485520148</v>
      </c>
      <c r="G254" t="s">
        <v>466</v>
      </c>
      <c r="H254" t="s">
        <v>129</v>
      </c>
      <c r="I254" t="s">
        <v>495</v>
      </c>
      <c r="J254" s="1">
        <v>21.79039170088296</v>
      </c>
      <c r="K254" s="1">
        <v>0</v>
      </c>
      <c r="L254" s="2">
        <v>0</v>
      </c>
      <c r="M254">
        <v>0.67</v>
      </c>
      <c r="N254">
        <v>0.93</v>
      </c>
      <c r="O254">
        <v>0.88</v>
      </c>
    </row>
    <row r="255" spans="1:15" ht="16" x14ac:dyDescent="0.2">
      <c r="A255" t="s">
        <v>496</v>
      </c>
      <c r="B255" s="1">
        <v>591207.62</v>
      </c>
      <c r="C255" s="1">
        <v>43409.93</v>
      </c>
      <c r="D255" s="1">
        <v>11511.710000000001</v>
      </c>
      <c r="E255" s="1">
        <v>28638</v>
      </c>
      <c r="F255" s="6">
        <v>1.5158156994203507</v>
      </c>
      <c r="G255" t="s">
        <v>466</v>
      </c>
      <c r="H255" t="s">
        <v>132</v>
      </c>
      <c r="I255" t="s">
        <v>497</v>
      </c>
      <c r="J255" s="1">
        <v>20.644165793700676</v>
      </c>
      <c r="K255" s="1">
        <v>0</v>
      </c>
      <c r="L255" s="2">
        <v>0</v>
      </c>
      <c r="M255">
        <v>0.81</v>
      </c>
      <c r="N255" t="s">
        <v>544</v>
      </c>
      <c r="O255">
        <v>0.92</v>
      </c>
    </row>
    <row r="256" spans="1:15" ht="16" x14ac:dyDescent="0.2">
      <c r="A256" t="s">
        <v>498</v>
      </c>
      <c r="B256" s="1">
        <v>685420.85</v>
      </c>
      <c r="C256" s="1">
        <v>63226.29</v>
      </c>
      <c r="D256" s="1">
        <v>16466.43</v>
      </c>
      <c r="E256" s="1">
        <v>43638</v>
      </c>
      <c r="F256" s="6">
        <v>1.4488814794445208</v>
      </c>
      <c r="G256" t="s">
        <v>466</v>
      </c>
      <c r="H256" t="s">
        <v>126</v>
      </c>
      <c r="I256" t="s">
        <v>499</v>
      </c>
      <c r="J256" s="1">
        <v>15.706972134378294</v>
      </c>
      <c r="K256" s="1">
        <v>0</v>
      </c>
      <c r="L256" s="2">
        <v>0</v>
      </c>
      <c r="M256">
        <v>0.78</v>
      </c>
      <c r="N256">
        <v>0.75</v>
      </c>
      <c r="O256">
        <v>1.69</v>
      </c>
    </row>
    <row r="257" spans="1:15" ht="16" x14ac:dyDescent="0.2">
      <c r="A257" t="s">
        <v>472</v>
      </c>
      <c r="B257" s="1">
        <v>962106.73</v>
      </c>
      <c r="C257" s="1">
        <v>72039.17</v>
      </c>
      <c r="D257" s="1">
        <v>14244.1</v>
      </c>
      <c r="E257" s="1">
        <v>50254</v>
      </c>
      <c r="F257" s="6">
        <v>1.4335012138337246</v>
      </c>
      <c r="G257" t="s">
        <v>466</v>
      </c>
      <c r="H257" t="s">
        <v>127</v>
      </c>
      <c r="I257" t="s">
        <v>430</v>
      </c>
      <c r="J257" s="1">
        <v>19.144878616627533</v>
      </c>
      <c r="K257" s="1">
        <v>0</v>
      </c>
      <c r="L257" s="2">
        <v>0</v>
      </c>
      <c r="M257">
        <v>0.89</v>
      </c>
      <c r="N257">
        <v>0.93</v>
      </c>
      <c r="O257">
        <v>2.15</v>
      </c>
    </row>
    <row r="258" spans="1:15" ht="16" x14ac:dyDescent="0.2">
      <c r="A258" t="s">
        <v>473</v>
      </c>
      <c r="B258" s="1">
        <v>1238275.0900000001</v>
      </c>
      <c r="C258" s="1">
        <v>78542.42</v>
      </c>
      <c r="D258" s="1">
        <v>29107.54</v>
      </c>
      <c r="E258" s="1">
        <v>56481</v>
      </c>
      <c r="F258" s="6">
        <v>1.3905989624829589</v>
      </c>
      <c r="G258" t="s">
        <v>466</v>
      </c>
      <c r="H258" t="s">
        <v>124</v>
      </c>
      <c r="I258" t="s">
        <v>474</v>
      </c>
      <c r="J258" s="1">
        <v>21.923745861440132</v>
      </c>
      <c r="K258" s="1">
        <v>0</v>
      </c>
      <c r="L258" s="2">
        <v>0</v>
      </c>
      <c r="M258">
        <v>0.75</v>
      </c>
      <c r="N258">
        <v>1.57</v>
      </c>
      <c r="O258">
        <v>1.55</v>
      </c>
    </row>
    <row r="259" spans="1:15" ht="16" x14ac:dyDescent="0.2">
      <c r="A259" t="s">
        <v>58</v>
      </c>
      <c r="B259" s="1">
        <v>723392.4</v>
      </c>
      <c r="C259" s="1">
        <v>61741.54</v>
      </c>
      <c r="D259" s="1">
        <v>16617.21</v>
      </c>
      <c r="E259" s="1">
        <v>45000</v>
      </c>
      <c r="F259" s="6">
        <v>1.3720342222222222</v>
      </c>
      <c r="G259" t="s">
        <v>466</v>
      </c>
      <c r="H259" t="s">
        <v>123</v>
      </c>
      <c r="I259" t="s">
        <v>500</v>
      </c>
      <c r="J259" s="1">
        <v>16.075386666666667</v>
      </c>
      <c r="K259" s="1">
        <v>0</v>
      </c>
      <c r="L259" s="2">
        <v>0</v>
      </c>
      <c r="M259">
        <v>0.67</v>
      </c>
      <c r="N259">
        <v>0.95</v>
      </c>
      <c r="O259">
        <v>1.6</v>
      </c>
    </row>
    <row r="260" spans="1:15" ht="16" x14ac:dyDescent="0.2">
      <c r="A260" t="s">
        <v>12</v>
      </c>
      <c r="B260" s="1">
        <v>1154617.0900000001</v>
      </c>
      <c r="C260" s="1">
        <v>84618.77</v>
      </c>
      <c r="D260" s="1">
        <v>16679.27</v>
      </c>
      <c r="E260" s="1">
        <v>61770</v>
      </c>
      <c r="F260" s="6">
        <v>1.3699007608871621</v>
      </c>
      <c r="G260" t="s">
        <v>466</v>
      </c>
      <c r="H260" t="s">
        <v>118</v>
      </c>
      <c r="I260" t="s">
        <v>475</v>
      </c>
      <c r="J260" s="1">
        <v>18.692198316334792</v>
      </c>
      <c r="K260" s="1">
        <v>0</v>
      </c>
      <c r="L260" s="2">
        <v>0</v>
      </c>
      <c r="M260">
        <v>0.12</v>
      </c>
      <c r="N260">
        <v>2.0099999999999998</v>
      </c>
      <c r="O260">
        <v>1.92</v>
      </c>
    </row>
    <row r="261" spans="1:15" ht="16" x14ac:dyDescent="0.2">
      <c r="A261" t="s">
        <v>42</v>
      </c>
      <c r="B261" s="1">
        <v>715751.38</v>
      </c>
      <c r="C261" s="1">
        <v>54388.31</v>
      </c>
      <c r="D261" s="1">
        <v>14583.949999999999</v>
      </c>
      <c r="E261" s="1">
        <v>39991</v>
      </c>
      <c r="F261" s="6">
        <v>1.3600137530944463</v>
      </c>
      <c r="G261" t="s">
        <v>466</v>
      </c>
      <c r="H261" t="s">
        <v>131</v>
      </c>
      <c r="I261" t="s">
        <v>501</v>
      </c>
      <c r="J261" s="1">
        <v>17.897811507589207</v>
      </c>
      <c r="K261" s="1">
        <v>0</v>
      </c>
      <c r="L261" s="2">
        <v>0</v>
      </c>
      <c r="M261">
        <v>0.77</v>
      </c>
      <c r="N261">
        <v>0.64</v>
      </c>
      <c r="O261">
        <v>0.76</v>
      </c>
    </row>
    <row r="262" spans="1:15" ht="16" x14ac:dyDescent="0.2">
      <c r="A262" t="s">
        <v>502</v>
      </c>
      <c r="B262" s="1">
        <v>613741.91</v>
      </c>
      <c r="C262" s="1">
        <v>40856.720000000001</v>
      </c>
      <c r="D262" s="1">
        <v>13287.24</v>
      </c>
      <c r="E262" s="1">
        <v>30539</v>
      </c>
      <c r="F262" s="6">
        <v>1.3378538917449818</v>
      </c>
      <c r="G262" t="s">
        <v>466</v>
      </c>
      <c r="H262" t="s">
        <v>125</v>
      </c>
      <c r="I262" t="s">
        <v>503</v>
      </c>
      <c r="J262" s="1">
        <v>20.096987786109565</v>
      </c>
      <c r="K262" s="1">
        <v>0</v>
      </c>
      <c r="L262" s="2">
        <v>0</v>
      </c>
      <c r="M262">
        <v>0.4</v>
      </c>
      <c r="N262">
        <v>0.8</v>
      </c>
      <c r="O262">
        <v>0.82</v>
      </c>
    </row>
    <row r="263" spans="1:15" ht="16" x14ac:dyDescent="0.2">
      <c r="A263" t="s">
        <v>504</v>
      </c>
      <c r="B263" s="1">
        <v>684821.3</v>
      </c>
      <c r="C263" s="1">
        <v>46667.65</v>
      </c>
      <c r="D263" s="1">
        <v>12988.21</v>
      </c>
      <c r="E263" s="1">
        <v>35190</v>
      </c>
      <c r="F263" s="6">
        <v>1.3261622620062519</v>
      </c>
      <c r="G263" t="s">
        <v>466</v>
      </c>
      <c r="H263" t="s">
        <v>121</v>
      </c>
      <c r="I263" t="s">
        <v>505</v>
      </c>
      <c r="J263" s="1">
        <v>19.460679170218814</v>
      </c>
      <c r="K263" s="1">
        <v>0</v>
      </c>
      <c r="L263" s="2">
        <v>0</v>
      </c>
      <c r="M263">
        <v>0.87</v>
      </c>
      <c r="N263">
        <v>0.25</v>
      </c>
      <c r="O263">
        <v>0.87</v>
      </c>
    </row>
    <row r="264" spans="1:15" ht="16" x14ac:dyDescent="0.2">
      <c r="A264" t="s">
        <v>476</v>
      </c>
      <c r="B264" s="1">
        <v>1184607.28</v>
      </c>
      <c r="C264" s="1">
        <v>83812.52</v>
      </c>
      <c r="D264" s="1">
        <v>27554.98</v>
      </c>
      <c r="E264" s="1">
        <v>66131</v>
      </c>
      <c r="F264" s="6">
        <v>1.2673711270054893</v>
      </c>
      <c r="G264" t="s">
        <v>466</v>
      </c>
      <c r="H264" t="s">
        <v>206</v>
      </c>
      <c r="I264" t="s">
        <v>477</v>
      </c>
      <c r="J264" s="1">
        <v>17.913040480258882</v>
      </c>
      <c r="K264" s="1">
        <v>0</v>
      </c>
      <c r="L264" s="2">
        <v>0</v>
      </c>
      <c r="M264">
        <v>0.85</v>
      </c>
      <c r="N264">
        <v>2.11</v>
      </c>
      <c r="O264">
        <v>1.78</v>
      </c>
    </row>
    <row r="265" spans="1:15" ht="16" x14ac:dyDescent="0.2">
      <c r="A265" t="s">
        <v>478</v>
      </c>
      <c r="B265" s="1">
        <v>996686.21</v>
      </c>
      <c r="C265" s="1">
        <v>80227.570000000007</v>
      </c>
      <c r="D265" s="1">
        <v>14491.86</v>
      </c>
      <c r="E265" s="1">
        <v>65059</v>
      </c>
      <c r="F265" s="6">
        <v>1.2331509860280669</v>
      </c>
      <c r="G265" t="s">
        <v>466</v>
      </c>
      <c r="H265" t="s">
        <v>118</v>
      </c>
      <c r="I265" t="s">
        <v>479</v>
      </c>
      <c r="J265" s="1">
        <v>15.319728400375043</v>
      </c>
      <c r="K265" s="1">
        <v>0</v>
      </c>
      <c r="L265" s="2">
        <v>0</v>
      </c>
      <c r="M265">
        <v>0.73</v>
      </c>
      <c r="N265">
        <v>1.73</v>
      </c>
      <c r="O265">
        <v>1.93</v>
      </c>
    </row>
    <row r="266" spans="1:15" ht="16" x14ac:dyDescent="0.2">
      <c r="A266" t="s">
        <v>506</v>
      </c>
      <c r="B266" s="1">
        <v>668739.31000000006</v>
      </c>
      <c r="C266" s="1">
        <v>40229.5</v>
      </c>
      <c r="D266" s="1">
        <v>11506.720000000001</v>
      </c>
      <c r="E266" s="1">
        <v>32414</v>
      </c>
      <c r="F266" s="6">
        <v>1.2411149503301042</v>
      </c>
      <c r="G266" t="s">
        <v>466</v>
      </c>
      <c r="H266" t="s">
        <v>124</v>
      </c>
      <c r="I266" t="s">
        <v>507</v>
      </c>
      <c r="J266" s="1">
        <v>20.631187449867344</v>
      </c>
      <c r="K266" s="1">
        <v>-2756.6502400000022</v>
      </c>
      <c r="L266" s="2">
        <v>6.8523104686859196E-2</v>
      </c>
      <c r="M266">
        <v>0.73</v>
      </c>
      <c r="N266" t="s">
        <v>544</v>
      </c>
      <c r="O266">
        <v>0.85</v>
      </c>
    </row>
    <row r="267" spans="1:15" ht="16" x14ac:dyDescent="0.2">
      <c r="A267" t="s">
        <v>66</v>
      </c>
      <c r="B267" s="1">
        <v>639134.19999999995</v>
      </c>
      <c r="C267" s="1">
        <v>46372</v>
      </c>
      <c r="D267" s="1">
        <v>11592.23</v>
      </c>
      <c r="E267" s="1">
        <v>37496</v>
      </c>
      <c r="F267" s="6">
        <v>1.2367185833155536</v>
      </c>
      <c r="G267" t="s">
        <v>466</v>
      </c>
      <c r="H267" t="s">
        <v>130</v>
      </c>
      <c r="I267" t="s">
        <v>508</v>
      </c>
      <c r="J267" s="1">
        <v>17.045396842329847</v>
      </c>
      <c r="K267" s="1">
        <v>-3353.6953600000015</v>
      </c>
      <c r="L267" s="2">
        <v>7.2321559561804569E-2</v>
      </c>
      <c r="M267">
        <v>0.87</v>
      </c>
      <c r="N267" t="s">
        <v>544</v>
      </c>
      <c r="O267">
        <v>0.76</v>
      </c>
    </row>
    <row r="268" spans="1:15" ht="16" x14ac:dyDescent="0.2">
      <c r="A268" t="s">
        <v>533</v>
      </c>
      <c r="B268" s="1">
        <v>395105.9</v>
      </c>
      <c r="C268" s="1">
        <v>38469.39</v>
      </c>
      <c r="D268" s="1">
        <v>8309.5399999999991</v>
      </c>
      <c r="E268" s="1">
        <v>25875</v>
      </c>
      <c r="F268" s="6">
        <v>1.4867397101449276</v>
      </c>
      <c r="G268" t="s">
        <v>466</v>
      </c>
      <c r="H268" t="s">
        <v>131</v>
      </c>
      <c r="I268" t="s">
        <v>534</v>
      </c>
      <c r="J268" s="1">
        <v>15.269793236714976</v>
      </c>
      <c r="K268" s="1">
        <v>-4573.6724999999988</v>
      </c>
      <c r="L268" s="2">
        <v>0.11889121454746225</v>
      </c>
      <c r="M268">
        <v>0.48</v>
      </c>
      <c r="N268">
        <v>0.26</v>
      </c>
      <c r="O268">
        <v>0.83</v>
      </c>
    </row>
    <row r="269" spans="1:15" ht="16" x14ac:dyDescent="0.2">
      <c r="A269" t="s">
        <v>531</v>
      </c>
      <c r="B269" s="1">
        <v>435434.82</v>
      </c>
      <c r="C269" s="1">
        <v>41937.32</v>
      </c>
      <c r="D269" s="1">
        <v>7698.83</v>
      </c>
      <c r="E269" s="1">
        <v>28002</v>
      </c>
      <c r="F269" s="6">
        <v>1.4976544532533391</v>
      </c>
      <c r="G269" t="s">
        <v>466</v>
      </c>
      <c r="H269" t="s">
        <v>123</v>
      </c>
      <c r="I269" t="s">
        <v>532</v>
      </c>
      <c r="J269" s="1">
        <v>15.550132847653739</v>
      </c>
      <c r="K269" s="1">
        <v>-4644.0069999999969</v>
      </c>
      <c r="L269" s="2">
        <v>0.11073685681393081</v>
      </c>
      <c r="M269">
        <v>0.82</v>
      </c>
      <c r="N269" t="s">
        <v>544</v>
      </c>
      <c r="O269">
        <v>0</v>
      </c>
    </row>
    <row r="270" spans="1:15" ht="16" x14ac:dyDescent="0.2">
      <c r="A270" t="s">
        <v>509</v>
      </c>
      <c r="B270" s="1">
        <v>619135.29</v>
      </c>
      <c r="C270" s="1">
        <v>39601.730000000003</v>
      </c>
      <c r="D270" s="1">
        <v>11735.91</v>
      </c>
      <c r="E270" s="1">
        <v>33370</v>
      </c>
      <c r="F270" s="6">
        <v>1.1867464788732396</v>
      </c>
      <c r="G270" t="s">
        <v>466</v>
      </c>
      <c r="H270" t="s">
        <v>132</v>
      </c>
      <c r="I270" t="s">
        <v>510</v>
      </c>
      <c r="J270" s="1">
        <v>18.553649685346119</v>
      </c>
      <c r="K270" s="1">
        <v>-4652.2291999999952</v>
      </c>
      <c r="L270" s="2">
        <v>0.11747540322102076</v>
      </c>
      <c r="M270">
        <v>0.86</v>
      </c>
      <c r="N270" t="s">
        <v>544</v>
      </c>
      <c r="O270">
        <v>0.87</v>
      </c>
    </row>
    <row r="271" spans="1:15" ht="16" x14ac:dyDescent="0.2">
      <c r="A271" t="s">
        <v>511</v>
      </c>
      <c r="B271" s="1">
        <v>636303.37</v>
      </c>
      <c r="C271" s="1">
        <v>39173.51</v>
      </c>
      <c r="D271" s="1">
        <v>10283.450000000001</v>
      </c>
      <c r="E271" s="1">
        <v>34080</v>
      </c>
      <c r="F271" s="6">
        <v>1.1494574530516433</v>
      </c>
      <c r="G271" t="s">
        <v>466</v>
      </c>
      <c r="H271" t="s">
        <v>126</v>
      </c>
      <c r="I271" t="s">
        <v>512</v>
      </c>
      <c r="J271" s="1">
        <v>18.670873532863851</v>
      </c>
      <c r="K271" s="1">
        <v>-6022.0227999999979</v>
      </c>
      <c r="L271" s="2">
        <v>0.15372691392729418</v>
      </c>
      <c r="M271">
        <v>0.09</v>
      </c>
      <c r="N271">
        <v>1.77</v>
      </c>
      <c r="O271" t="s">
        <v>544</v>
      </c>
    </row>
    <row r="272" spans="1:15" ht="16" x14ac:dyDescent="0.2">
      <c r="A272" t="s">
        <v>14</v>
      </c>
      <c r="B272" s="1">
        <v>945226.53</v>
      </c>
      <c r="C272" s="1">
        <v>56116.91</v>
      </c>
      <c r="D272" s="1">
        <v>19263.03</v>
      </c>
      <c r="E272" s="1">
        <v>50640</v>
      </c>
      <c r="F272" s="6">
        <v>1.1081538309636652</v>
      </c>
      <c r="G272" t="s">
        <v>466</v>
      </c>
      <c r="H272" t="s">
        <v>129</v>
      </c>
      <c r="I272" t="s">
        <v>482</v>
      </c>
      <c r="J272" s="1">
        <v>18.665610781990523</v>
      </c>
      <c r="K272" s="1">
        <v>-6329.805999999995</v>
      </c>
      <c r="L272" s="2">
        <v>0.11279676660742714</v>
      </c>
      <c r="M272">
        <v>0.89</v>
      </c>
      <c r="N272">
        <v>0.86</v>
      </c>
      <c r="O272">
        <v>0.8</v>
      </c>
    </row>
    <row r="273" spans="1:15" ht="16" x14ac:dyDescent="0.2">
      <c r="A273" t="s">
        <v>480</v>
      </c>
      <c r="B273" s="1">
        <v>1078621.3500000001</v>
      </c>
      <c r="C273" s="1">
        <v>69369.41</v>
      </c>
      <c r="D273" s="1">
        <v>18332.240000000002</v>
      </c>
      <c r="E273" s="1">
        <v>61705</v>
      </c>
      <c r="F273" s="6">
        <v>1.1242105177862411</v>
      </c>
      <c r="G273" t="s">
        <v>466</v>
      </c>
      <c r="H273" t="s">
        <v>127</v>
      </c>
      <c r="I273" t="s">
        <v>481</v>
      </c>
      <c r="J273" s="1">
        <v>17.480290900251198</v>
      </c>
      <c r="K273" s="1">
        <v>-6722.110749999988</v>
      </c>
      <c r="L273" s="2">
        <v>9.6903098210003341E-2</v>
      </c>
      <c r="M273">
        <v>0.89</v>
      </c>
      <c r="N273">
        <v>1.1299999999999999</v>
      </c>
      <c r="O273">
        <v>0.82</v>
      </c>
    </row>
    <row r="274" spans="1:15" ht="16" x14ac:dyDescent="0.2">
      <c r="A274" t="s">
        <v>535</v>
      </c>
      <c r="B274" s="1">
        <v>486235.51</v>
      </c>
      <c r="C274" s="1">
        <v>38685.089999999997</v>
      </c>
      <c r="D274" s="1">
        <v>9628.65</v>
      </c>
      <c r="E274" s="1">
        <v>28379</v>
      </c>
      <c r="F274" s="6">
        <v>1.3631590260403819</v>
      </c>
      <c r="G274" t="s">
        <v>466</v>
      </c>
      <c r="H274" t="s">
        <v>129</v>
      </c>
      <c r="I274" t="s">
        <v>536</v>
      </c>
      <c r="J274" s="1">
        <v>17.133637901265022</v>
      </c>
      <c r="K274" s="1">
        <v>-8523.3765000000021</v>
      </c>
      <c r="L274" s="2">
        <v>0.22032717256183204</v>
      </c>
      <c r="M274">
        <v>0.87</v>
      </c>
      <c r="N274" t="s">
        <v>544</v>
      </c>
      <c r="O274" t="s">
        <v>544</v>
      </c>
    </row>
    <row r="276" spans="1:15" x14ac:dyDescent="0.2">
      <c r="F276" t="e">
        <f>CORREL(F234:F274,#REF!)</f>
        <v>#REF!</v>
      </c>
    </row>
  </sheetData>
  <autoFilter ref="A4:L105" xr:uid="{00000000-0001-0000-0000-000000000000}">
    <sortState xmlns:xlrd2="http://schemas.microsoft.com/office/spreadsheetml/2017/richdata2" ref="A30:L78">
      <sortCondition descending="1" ref="B4:B105"/>
    </sortState>
  </autoFilter>
  <sortState xmlns:xlrd2="http://schemas.microsoft.com/office/spreadsheetml/2017/richdata2" ref="A234:L274">
    <sortCondition descending="1" ref="K234:K274"/>
    <sortCondition descending="1" ref="F234:F274"/>
  </sortState>
  <conditionalFormatting sqref="K5:K103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108:K165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170:K229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234:K274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577B4B14-0E53-EB43-968E-61D0AC457DE2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J5:J103</xm:sqref>
        </x14:conditionalFormatting>
        <x14:conditionalFormatting xmlns:xm="http://schemas.microsoft.com/office/excel/2006/main">
          <x14:cfRule type="iconSet" priority="8" id="{E30E5596-8654-8A4F-9084-AA73B02FF24A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J170:J229</xm:sqref>
        </x14:conditionalFormatting>
        <x14:conditionalFormatting xmlns:xm="http://schemas.microsoft.com/office/excel/2006/main">
          <x14:cfRule type="iconSet" priority="7" id="{049185F9-3A3F-D74B-A5E9-A2B5F9CB0ACF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J234:J274</xm:sqref>
        </x14:conditionalFormatting>
        <x14:conditionalFormatting xmlns:xm="http://schemas.microsoft.com/office/excel/2006/main">
          <x14:cfRule type="iconSet" priority="6" id="{ED4B8688-2B59-A441-96F9-5319F43B301F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J109:J165</xm:sqref>
        </x14:conditionalFormatting>
        <x14:conditionalFormatting xmlns:xm="http://schemas.microsoft.com/office/excel/2006/main">
          <x14:cfRule type="iconSet" priority="5" id="{D6A2124A-8EE5-7C4A-87B2-F41BAB1A49FD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J108</xm:sqref>
        </x14:conditionalFormatting>
        <x14:conditionalFormatting xmlns:xm="http://schemas.microsoft.com/office/excel/2006/main">
          <x14:cfRule type="iconSet" priority="4" id="{8120BA45-DF70-DE49-80CC-DE5548F358F4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B5:B103</xm:sqref>
        </x14:conditionalFormatting>
        <x14:conditionalFormatting xmlns:xm="http://schemas.microsoft.com/office/excel/2006/main">
          <x14:cfRule type="iconSet" priority="3" id="{5D53FC56-F4F3-E849-9F4B-773F063FD25C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B108:B165</xm:sqref>
        </x14:conditionalFormatting>
        <x14:conditionalFormatting xmlns:xm="http://schemas.microsoft.com/office/excel/2006/main">
          <x14:cfRule type="iconSet" priority="2" id="{346DF03A-D73D-8F48-86DF-497D91C9C461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B170:B229</xm:sqref>
        </x14:conditionalFormatting>
        <x14:conditionalFormatting xmlns:xm="http://schemas.microsoft.com/office/excel/2006/main">
          <x14:cfRule type="iconSet" priority="1" id="{BDB3C172-4C47-6644-BDF3-A151B505604E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B234:B274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1DF6-38CF-6041-919B-1A3AE4B97D79}">
  <sheetPr filterMode="1"/>
  <dimension ref="A1:R276"/>
  <sheetViews>
    <sheetView showGridLines="0" tabSelected="1" workbookViewId="0">
      <pane ySplit="1" topLeftCell="A2" activePane="bottomLeft" state="frozen"/>
      <selection pane="bottomLeft" activeCell="H48" sqref="H48"/>
    </sheetView>
  </sheetViews>
  <sheetFormatPr baseColWidth="10" defaultColWidth="8.83203125" defaultRowHeight="15" x14ac:dyDescent="0.2"/>
  <cols>
    <col min="1" max="1" width="7.33203125" customWidth="1"/>
    <col min="2" max="2" width="18.5" customWidth="1"/>
    <col min="3" max="3" width="10.1640625" bestFit="1" customWidth="1"/>
    <col min="4" max="4" width="9.1640625" bestFit="1" customWidth="1"/>
    <col min="5" max="5" width="7.5" bestFit="1" customWidth="1"/>
    <col min="6" max="6" width="12.1640625" bestFit="1" customWidth="1"/>
    <col min="7" max="7" width="17.83203125" bestFit="1" customWidth="1"/>
    <col min="8" max="8" width="22.1640625" bestFit="1" customWidth="1"/>
    <col min="9" max="9" width="27.33203125" bestFit="1" customWidth="1"/>
    <col min="10" max="10" width="16.33203125" bestFit="1" customWidth="1"/>
    <col min="11" max="11" width="7" bestFit="1" customWidth="1"/>
    <col min="12" max="12" width="8.5" bestFit="1" customWidth="1"/>
    <col min="13" max="15" width="11.6640625" bestFit="1" customWidth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3" t="s">
        <v>541</v>
      </c>
      <c r="N1" s="3" t="s">
        <v>542</v>
      </c>
      <c r="O1" s="3" t="s">
        <v>543</v>
      </c>
    </row>
    <row r="2" spans="1:15" ht="19" x14ac:dyDescent="0.25">
      <c r="A2" s="4" t="s">
        <v>540</v>
      </c>
    </row>
    <row r="4" spans="1:15" x14ac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t="s">
        <v>6</v>
      </c>
      <c r="H4" t="s">
        <v>7</v>
      </c>
      <c r="I4" t="s">
        <v>8</v>
      </c>
      <c r="J4" s="3" t="s">
        <v>9</v>
      </c>
      <c r="K4" t="s">
        <v>10</v>
      </c>
      <c r="L4" t="s">
        <v>11</v>
      </c>
      <c r="M4" s="3" t="s">
        <v>541</v>
      </c>
      <c r="N4" s="3" t="s">
        <v>542</v>
      </c>
      <c r="O4" s="3" t="s">
        <v>543</v>
      </c>
    </row>
    <row r="5" spans="1:15" ht="16" hidden="1" x14ac:dyDescent="0.2">
      <c r="A5" s="3" t="s">
        <v>70</v>
      </c>
      <c r="B5" s="5">
        <v>2678649.6799999997</v>
      </c>
      <c r="C5" s="1">
        <v>207456.58000000002</v>
      </c>
      <c r="D5" s="1">
        <v>35431.75</v>
      </c>
      <c r="E5" s="1">
        <v>117390</v>
      </c>
      <c r="F5" s="6">
        <v>1.7672423545446803</v>
      </c>
      <c r="G5" t="s">
        <v>116</v>
      </c>
      <c r="H5" t="s">
        <v>118</v>
      </c>
      <c r="I5" t="s">
        <v>133</v>
      </c>
      <c r="J5" s="1">
        <v>22.818380441264161</v>
      </c>
      <c r="K5" s="1">
        <v>77921.99755</v>
      </c>
      <c r="L5" s="2">
        <v>0.37560629578488181</v>
      </c>
      <c r="M5">
        <v>0.77</v>
      </c>
      <c r="N5">
        <v>5.97</v>
      </c>
      <c r="O5">
        <v>4.68</v>
      </c>
    </row>
    <row r="6" spans="1:15" ht="16" hidden="1" x14ac:dyDescent="0.2">
      <c r="A6" s="3" t="s">
        <v>203</v>
      </c>
      <c r="B6" s="1">
        <v>1125165.99</v>
      </c>
      <c r="C6" s="1">
        <v>97754.71</v>
      </c>
      <c r="D6" s="1">
        <v>17315.599999999999</v>
      </c>
      <c r="E6" s="1">
        <v>58552</v>
      </c>
      <c r="F6" s="6">
        <v>1.6695366511818555</v>
      </c>
      <c r="G6" t="s">
        <v>116</v>
      </c>
      <c r="H6" t="s">
        <v>118</v>
      </c>
      <c r="I6" t="s">
        <v>204</v>
      </c>
      <c r="J6" s="1">
        <v>19.216525310834815</v>
      </c>
      <c r="K6" s="1">
        <v>21862.945064</v>
      </c>
      <c r="L6" s="2">
        <v>0.22365106565197726</v>
      </c>
      <c r="M6">
        <v>0.18</v>
      </c>
      <c r="N6">
        <v>2.2200000000000002</v>
      </c>
      <c r="O6">
        <v>2.67</v>
      </c>
    </row>
    <row r="7" spans="1:15" ht="16" x14ac:dyDescent="0.2">
      <c r="A7" s="3" t="s">
        <v>71</v>
      </c>
      <c r="B7" s="1">
        <v>1541020.42</v>
      </c>
      <c r="C7" s="1">
        <v>111405.49</v>
      </c>
      <c r="D7" s="1">
        <v>26430.55</v>
      </c>
      <c r="E7" s="1">
        <v>86619</v>
      </c>
      <c r="F7" s="6">
        <v>1.2861553469793001</v>
      </c>
      <c r="G7" t="s">
        <v>117</v>
      </c>
      <c r="H7" t="s">
        <v>119</v>
      </c>
      <c r="I7" t="s">
        <v>134</v>
      </c>
      <c r="J7" s="1">
        <v>17.790789780533139</v>
      </c>
      <c r="K7" s="1">
        <v>15825.321354999991</v>
      </c>
      <c r="L7" s="2">
        <v>0.14205153942592946</v>
      </c>
      <c r="M7" s="7">
        <v>0.12</v>
      </c>
      <c r="N7" s="7">
        <v>3.57</v>
      </c>
      <c r="O7" s="7">
        <v>2.64</v>
      </c>
    </row>
    <row r="8" spans="1:15" ht="16" hidden="1" x14ac:dyDescent="0.2">
      <c r="A8" s="3" t="s">
        <v>64</v>
      </c>
      <c r="B8" s="1">
        <v>894251.73</v>
      </c>
      <c r="C8" s="1">
        <v>100256.45</v>
      </c>
      <c r="D8" s="1">
        <v>24332.739999999998</v>
      </c>
      <c r="E8" s="1">
        <v>65931</v>
      </c>
      <c r="F8" s="6">
        <v>1.5206268674826713</v>
      </c>
      <c r="G8" t="s">
        <v>117</v>
      </c>
      <c r="H8" t="s">
        <v>123</v>
      </c>
      <c r="I8" t="s">
        <v>208</v>
      </c>
      <c r="J8" s="1">
        <v>13.563448605360149</v>
      </c>
      <c r="K8" s="1">
        <v>14800.445866999997</v>
      </c>
      <c r="L8" s="2">
        <v>0.1476258721209458</v>
      </c>
      <c r="M8">
        <v>0.84</v>
      </c>
      <c r="N8">
        <v>1.04</v>
      </c>
      <c r="O8">
        <v>3.12</v>
      </c>
    </row>
    <row r="9" spans="1:15" ht="16" x14ac:dyDescent="0.2">
      <c r="A9" s="3" t="s">
        <v>72</v>
      </c>
      <c r="B9" s="1">
        <v>1564466</v>
      </c>
      <c r="C9" s="1">
        <v>111133.51</v>
      </c>
      <c r="D9" s="1">
        <v>22885.42</v>
      </c>
      <c r="E9" s="1">
        <v>87463</v>
      </c>
      <c r="F9" s="6">
        <v>1.2706345540399939</v>
      </c>
      <c r="G9" t="s">
        <v>117</v>
      </c>
      <c r="H9" t="s">
        <v>119</v>
      </c>
      <c r="I9" t="s">
        <v>135</v>
      </c>
      <c r="J9" s="1">
        <v>17.887175148348444</v>
      </c>
      <c r="K9" s="1">
        <v>14622.025334999982</v>
      </c>
      <c r="L9" s="2">
        <v>0.1315717044750947</v>
      </c>
      <c r="M9" s="7">
        <v>0.87</v>
      </c>
      <c r="N9" s="7">
        <v>1.51</v>
      </c>
      <c r="O9" s="7">
        <v>2.66</v>
      </c>
    </row>
    <row r="10" spans="1:15" ht="16" hidden="1" x14ac:dyDescent="0.2">
      <c r="A10" s="3" t="s">
        <v>205</v>
      </c>
      <c r="B10" s="1">
        <v>989298.84</v>
      </c>
      <c r="C10" s="1">
        <v>93168.65</v>
      </c>
      <c r="D10" s="1">
        <v>16878.16</v>
      </c>
      <c r="E10" s="1">
        <v>60682</v>
      </c>
      <c r="F10" s="6">
        <v>1.5353589202728979</v>
      </c>
      <c r="G10" t="s">
        <v>117</v>
      </c>
      <c r="H10" t="s">
        <v>206</v>
      </c>
      <c r="I10" t="s">
        <v>207</v>
      </c>
      <c r="J10" s="1">
        <v>16.303003196994165</v>
      </c>
      <c r="K10" s="1">
        <v>14516.100473999986</v>
      </c>
      <c r="L10" s="2">
        <v>0.15580455951653252</v>
      </c>
      <c r="M10">
        <v>0.73</v>
      </c>
      <c r="N10">
        <v>0.75</v>
      </c>
      <c r="O10">
        <v>2.2400000000000002</v>
      </c>
    </row>
    <row r="11" spans="1:15" ht="16" hidden="1" x14ac:dyDescent="0.2">
      <c r="A11" s="3" t="s">
        <v>74</v>
      </c>
      <c r="B11" s="1">
        <v>2524019.61</v>
      </c>
      <c r="C11" s="1">
        <v>177441.52</v>
      </c>
      <c r="D11" s="1">
        <v>44802.770000000004</v>
      </c>
      <c r="E11" s="1">
        <v>147695</v>
      </c>
      <c r="F11" s="6">
        <v>1.2014050577203019</v>
      </c>
      <c r="G11" t="s">
        <v>116</v>
      </c>
      <c r="H11" t="s">
        <v>118</v>
      </c>
      <c r="I11" t="s">
        <v>137</v>
      </c>
      <c r="J11" s="1">
        <v>17.089404583770609</v>
      </c>
      <c r="K11" s="1">
        <v>14466.733774999982</v>
      </c>
      <c r="L11" s="2">
        <v>8.1529586620989178E-2</v>
      </c>
      <c r="M11">
        <v>0.89</v>
      </c>
      <c r="N11">
        <v>2.4500000000000002</v>
      </c>
      <c r="O11">
        <v>6.61</v>
      </c>
    </row>
    <row r="12" spans="1:15" ht="16" hidden="1" x14ac:dyDescent="0.2">
      <c r="A12" s="3" t="s">
        <v>73</v>
      </c>
      <c r="B12" s="1">
        <v>1633547.89</v>
      </c>
      <c r="C12" s="1">
        <v>123018.94</v>
      </c>
      <c r="D12" s="1">
        <v>27722.07</v>
      </c>
      <c r="E12" s="1">
        <v>101486</v>
      </c>
      <c r="F12" s="6">
        <v>1.2121764578365488</v>
      </c>
      <c r="G12" t="s">
        <v>116</v>
      </c>
      <c r="H12" t="s">
        <v>118</v>
      </c>
      <c r="I12" t="s">
        <v>136</v>
      </c>
      <c r="J12" s="1">
        <v>16.09628805943677</v>
      </c>
      <c r="K12" s="1">
        <v>11033.705869999985</v>
      </c>
      <c r="L12" s="2">
        <v>8.9691114799070659E-2</v>
      </c>
      <c r="M12">
        <v>0.06</v>
      </c>
      <c r="N12">
        <v>3.15</v>
      </c>
      <c r="O12">
        <v>3.16</v>
      </c>
    </row>
    <row r="13" spans="1:15" ht="16" x14ac:dyDescent="0.2">
      <c r="A13" s="3" t="s">
        <v>26</v>
      </c>
      <c r="B13" s="1">
        <v>1215616.3500000001</v>
      </c>
      <c r="C13" s="1">
        <v>83986.84</v>
      </c>
      <c r="D13" s="1">
        <v>19198.849999999999</v>
      </c>
      <c r="E13" s="1">
        <v>57875</v>
      </c>
      <c r="F13" s="6">
        <v>1.4511765010799136</v>
      </c>
      <c r="G13" t="s">
        <v>117</v>
      </c>
      <c r="H13" t="s">
        <v>131</v>
      </c>
      <c r="I13" t="s">
        <v>209</v>
      </c>
      <c r="J13" s="1">
        <v>21.00417019438445</v>
      </c>
      <c r="K13" s="1">
        <v>8972.5638749999962</v>
      </c>
      <c r="L13" s="2">
        <v>0.10683297377303393</v>
      </c>
      <c r="M13" s="7">
        <v>0.11</v>
      </c>
      <c r="N13" s="7">
        <v>2.5</v>
      </c>
      <c r="O13" s="7">
        <v>1.53</v>
      </c>
    </row>
    <row r="14" spans="1:15" ht="16" x14ac:dyDescent="0.2">
      <c r="A14" s="3" t="s">
        <v>55</v>
      </c>
      <c r="B14" s="1">
        <v>1442169.48</v>
      </c>
      <c r="C14" s="1">
        <v>100976.03</v>
      </c>
      <c r="D14" s="1">
        <v>29933.65</v>
      </c>
      <c r="E14" s="1">
        <v>84490</v>
      </c>
      <c r="F14" s="6">
        <v>1.1951240383477335</v>
      </c>
      <c r="G14" t="s">
        <v>117</v>
      </c>
      <c r="H14" t="s">
        <v>120</v>
      </c>
      <c r="I14" t="s">
        <v>138</v>
      </c>
      <c r="J14" s="1">
        <v>17.069114451414368</v>
      </c>
      <c r="K14" s="1">
        <v>7745.117049999998</v>
      </c>
      <c r="L14" s="2">
        <v>7.6702530788742618E-2</v>
      </c>
      <c r="M14" s="7">
        <v>0.9</v>
      </c>
      <c r="N14" s="7">
        <v>2.4300000000000002</v>
      </c>
      <c r="O14" s="7">
        <v>1.69</v>
      </c>
    </row>
    <row r="15" spans="1:15" ht="16" x14ac:dyDescent="0.2">
      <c r="A15" s="3" t="s">
        <v>30</v>
      </c>
      <c r="B15" s="1">
        <v>1454841.82</v>
      </c>
      <c r="C15" s="1">
        <v>111250.19</v>
      </c>
      <c r="D15" s="1">
        <v>22304.39</v>
      </c>
      <c r="E15" s="1">
        <v>94020</v>
      </c>
      <c r="F15" s="6">
        <v>1.1832609019357583</v>
      </c>
      <c r="G15" t="s">
        <v>117</v>
      </c>
      <c r="H15" t="s">
        <v>120</v>
      </c>
      <c r="I15" t="s">
        <v>139</v>
      </c>
      <c r="J15" s="1">
        <v>15.473748351414594</v>
      </c>
      <c r="K15" s="1">
        <v>7503.3508999999867</v>
      </c>
      <c r="L15" s="2">
        <v>6.7445735598294143E-2</v>
      </c>
      <c r="M15" s="7">
        <v>0.88</v>
      </c>
      <c r="N15" s="7">
        <v>1.31</v>
      </c>
      <c r="O15" s="7">
        <v>2.63</v>
      </c>
    </row>
    <row r="16" spans="1:15" ht="16" hidden="1" x14ac:dyDescent="0.2">
      <c r="A16" s="3" t="s">
        <v>36</v>
      </c>
      <c r="B16" s="1">
        <v>1839086.11</v>
      </c>
      <c r="C16" s="1">
        <v>127685.81</v>
      </c>
      <c r="D16" s="1">
        <v>28792.1</v>
      </c>
      <c r="E16" s="1">
        <v>109134</v>
      </c>
      <c r="F16" s="6">
        <v>1.1699911118441548</v>
      </c>
      <c r="G16" t="s">
        <v>117</v>
      </c>
      <c r="H16" t="s">
        <v>121</v>
      </c>
      <c r="I16" t="s">
        <v>140</v>
      </c>
      <c r="J16" s="1">
        <v>16.851632946652739</v>
      </c>
      <c r="K16" s="1">
        <v>7261.3520299999855</v>
      </c>
      <c r="L16" s="2">
        <v>5.6868903678490082E-2</v>
      </c>
      <c r="M16">
        <v>0.79</v>
      </c>
      <c r="N16">
        <v>2.61</v>
      </c>
      <c r="O16">
        <v>2.36</v>
      </c>
    </row>
    <row r="17" spans="1:15" ht="16" hidden="1" x14ac:dyDescent="0.2">
      <c r="A17" s="3" t="s">
        <v>32</v>
      </c>
      <c r="B17" s="1">
        <v>946284.79</v>
      </c>
      <c r="C17" s="1">
        <v>91939.89</v>
      </c>
      <c r="D17" s="1">
        <v>18733.77</v>
      </c>
      <c r="E17" s="1">
        <v>65954</v>
      </c>
      <c r="F17" s="6">
        <v>1.3940002122691573</v>
      </c>
      <c r="G17" t="s">
        <v>117</v>
      </c>
      <c r="H17" t="s">
        <v>132</v>
      </c>
      <c r="I17" t="s">
        <v>210</v>
      </c>
      <c r="J17" s="1">
        <v>14.347648209358038</v>
      </c>
      <c r="K17" s="1">
        <v>6454.0745779999952</v>
      </c>
      <c r="L17" s="2">
        <v>7.0198850335800866E-2</v>
      </c>
      <c r="M17">
        <v>0.82</v>
      </c>
      <c r="N17">
        <v>1.48</v>
      </c>
      <c r="O17">
        <v>1.62</v>
      </c>
    </row>
    <row r="18" spans="1:15" ht="16" hidden="1" x14ac:dyDescent="0.2">
      <c r="A18" s="3" t="s">
        <v>38</v>
      </c>
      <c r="B18" s="1">
        <v>2445001.64</v>
      </c>
      <c r="C18" s="1">
        <v>153156.67000000001</v>
      </c>
      <c r="D18" s="1">
        <v>49257.68</v>
      </c>
      <c r="E18" s="1">
        <v>134069</v>
      </c>
      <c r="F18" s="6">
        <v>1.1423719875586453</v>
      </c>
      <c r="G18" t="s">
        <v>117</v>
      </c>
      <c r="H18" t="s">
        <v>123</v>
      </c>
      <c r="I18" t="s">
        <v>143</v>
      </c>
      <c r="J18" s="1">
        <v>18.236890258001477</v>
      </c>
      <c r="K18" s="1">
        <v>5217.5616050000108</v>
      </c>
      <c r="L18" s="2">
        <v>3.4066825852246657E-2</v>
      </c>
      <c r="M18">
        <v>0.9</v>
      </c>
      <c r="N18">
        <v>2.37</v>
      </c>
      <c r="O18">
        <v>3.74</v>
      </c>
    </row>
    <row r="19" spans="1:15" ht="16" x14ac:dyDescent="0.2">
      <c r="A19" s="3" t="s">
        <v>68</v>
      </c>
      <c r="B19" s="1">
        <v>1398074.12</v>
      </c>
      <c r="C19" s="1">
        <v>107677.55</v>
      </c>
      <c r="D19" s="1">
        <v>27000.489999999998</v>
      </c>
      <c r="E19" s="1">
        <v>93110</v>
      </c>
      <c r="F19" s="6">
        <v>1.156455267962625</v>
      </c>
      <c r="G19" t="s">
        <v>117</v>
      </c>
      <c r="H19" t="s">
        <v>121</v>
      </c>
      <c r="I19" t="s">
        <v>142</v>
      </c>
      <c r="J19" s="1">
        <v>15.015295027386962</v>
      </c>
      <c r="K19" s="1">
        <v>4934.8549500000054</v>
      </c>
      <c r="L19" s="2">
        <v>4.582993344480818E-2</v>
      </c>
      <c r="M19" s="7">
        <v>0.83</v>
      </c>
      <c r="N19" s="7">
        <v>1.66</v>
      </c>
      <c r="O19" s="7">
        <v>2.86</v>
      </c>
    </row>
    <row r="20" spans="1:15" ht="16" x14ac:dyDescent="0.2">
      <c r="A20" s="3" t="s">
        <v>48</v>
      </c>
      <c r="B20" s="1">
        <v>1352352.4</v>
      </c>
      <c r="C20" s="1">
        <v>96159.61</v>
      </c>
      <c r="D20" s="1">
        <v>25931.06</v>
      </c>
      <c r="E20" s="1">
        <v>83043</v>
      </c>
      <c r="F20" s="6">
        <v>1.1579496164637597</v>
      </c>
      <c r="G20" t="s">
        <v>117</v>
      </c>
      <c r="H20" t="s">
        <v>122</v>
      </c>
      <c r="I20" t="s">
        <v>141</v>
      </c>
      <c r="J20" s="1">
        <v>16.284965620220849</v>
      </c>
      <c r="K20" s="1">
        <v>4525.3964349999915</v>
      </c>
      <c r="L20" s="2">
        <v>4.706130188131994E-2</v>
      </c>
      <c r="M20" s="7" t="s">
        <v>544</v>
      </c>
      <c r="N20" s="7">
        <v>1.74</v>
      </c>
      <c r="O20" s="7">
        <v>2.5099999999999998</v>
      </c>
    </row>
    <row r="21" spans="1:15" ht="16" hidden="1" x14ac:dyDescent="0.2">
      <c r="A21" s="3" t="s">
        <v>35</v>
      </c>
      <c r="B21" s="1">
        <v>2518066.8199999998</v>
      </c>
      <c r="C21" s="1">
        <v>148477.99</v>
      </c>
      <c r="D21" s="1">
        <v>39421.06</v>
      </c>
      <c r="E21" s="1">
        <v>131028</v>
      </c>
      <c r="F21" s="6">
        <v>1.1331775651005891</v>
      </c>
      <c r="G21" t="s">
        <v>117</v>
      </c>
      <c r="H21" t="s">
        <v>124</v>
      </c>
      <c r="I21" t="s">
        <v>145</v>
      </c>
      <c r="J21" s="1">
        <v>19.217776505785022</v>
      </c>
      <c r="K21" s="1">
        <v>3894.4882599999773</v>
      </c>
      <c r="L21" s="2">
        <v>2.6229397771346297E-2</v>
      </c>
      <c r="M21">
        <v>0.88</v>
      </c>
      <c r="N21">
        <v>2.27</v>
      </c>
      <c r="O21">
        <v>2.61</v>
      </c>
    </row>
    <row r="22" spans="1:15" ht="16" hidden="1" x14ac:dyDescent="0.2">
      <c r="A22" s="3" t="s">
        <v>211</v>
      </c>
      <c r="B22" s="1">
        <v>947508.98</v>
      </c>
      <c r="C22" s="1">
        <v>92207.44</v>
      </c>
      <c r="D22" s="1">
        <v>19082.87</v>
      </c>
      <c r="E22" s="1">
        <v>68140</v>
      </c>
      <c r="F22" s="6">
        <v>1.3532057528617552</v>
      </c>
      <c r="G22" t="s">
        <v>117</v>
      </c>
      <c r="H22" t="s">
        <v>122</v>
      </c>
      <c r="I22" t="s">
        <v>212</v>
      </c>
      <c r="J22" s="1">
        <v>13.905326973877312</v>
      </c>
      <c r="K22" s="1">
        <v>3888.2559799999931</v>
      </c>
      <c r="L22" s="2">
        <v>4.2168570996006322E-2</v>
      </c>
      <c r="M22">
        <v>1</v>
      </c>
      <c r="N22">
        <v>1.04</v>
      </c>
      <c r="O22">
        <v>1.78</v>
      </c>
    </row>
    <row r="23" spans="1:15" ht="16" x14ac:dyDescent="0.2">
      <c r="A23" s="3" t="s">
        <v>75</v>
      </c>
      <c r="B23" s="1">
        <v>1526822.35</v>
      </c>
      <c r="C23" s="1">
        <v>116311.34</v>
      </c>
      <c r="D23" s="1">
        <v>31384</v>
      </c>
      <c r="E23" s="1">
        <v>102594</v>
      </c>
      <c r="F23" s="6">
        <v>1.1337050899662748</v>
      </c>
      <c r="G23" t="s">
        <v>117</v>
      </c>
      <c r="H23" t="s">
        <v>119</v>
      </c>
      <c r="I23" t="s">
        <v>144</v>
      </c>
      <c r="J23" s="1">
        <v>14.882179757100806</v>
      </c>
      <c r="K23" s="1">
        <v>3103.4777299999928</v>
      </c>
      <c r="L23" s="2">
        <v>2.6682503442914448E-2</v>
      </c>
      <c r="M23" s="7">
        <v>0.82</v>
      </c>
      <c r="N23" s="7">
        <v>1.76</v>
      </c>
      <c r="O23" s="7">
        <v>3.06</v>
      </c>
    </row>
    <row r="24" spans="1:15" ht="16" x14ac:dyDescent="0.2">
      <c r="A24" s="3" t="s">
        <v>76</v>
      </c>
      <c r="B24" s="1">
        <v>1300885.8700000001</v>
      </c>
      <c r="C24" s="1">
        <v>104489.46</v>
      </c>
      <c r="D24" s="1">
        <v>28583.350000000002</v>
      </c>
      <c r="E24" s="1">
        <v>92254</v>
      </c>
      <c r="F24" s="6">
        <v>1.1326279619311901</v>
      </c>
      <c r="G24" t="s">
        <v>117</v>
      </c>
      <c r="H24" t="s">
        <v>125</v>
      </c>
      <c r="I24" t="s">
        <v>146</v>
      </c>
      <c r="J24" s="1">
        <v>14.101132417022569</v>
      </c>
      <c r="K24" s="1">
        <v>2691.3224300000034</v>
      </c>
      <c r="L24" s="2">
        <v>2.575687949770248E-2</v>
      </c>
      <c r="M24" s="7">
        <v>0.1</v>
      </c>
      <c r="N24" s="7">
        <v>2.4300000000000002</v>
      </c>
      <c r="O24" s="7">
        <v>2.54</v>
      </c>
    </row>
    <row r="25" spans="1:15" ht="16" hidden="1" x14ac:dyDescent="0.2">
      <c r="A25" s="3" t="s">
        <v>213</v>
      </c>
      <c r="B25" s="1">
        <v>1097266.52</v>
      </c>
      <c r="C25" s="1">
        <v>74800.509999999995</v>
      </c>
      <c r="D25" s="1">
        <v>18664.48</v>
      </c>
      <c r="E25" s="1">
        <v>56554</v>
      </c>
      <c r="F25" s="6">
        <v>1.322638716978463</v>
      </c>
      <c r="G25" t="s">
        <v>117</v>
      </c>
      <c r="H25" t="s">
        <v>119</v>
      </c>
      <c r="I25" t="s">
        <v>214</v>
      </c>
      <c r="J25" s="1">
        <v>19.402102769034904</v>
      </c>
      <c r="K25" s="1">
        <v>1498.4387779999954</v>
      </c>
      <c r="L25" s="2">
        <v>2.0032467398952165E-2</v>
      </c>
      <c r="M25">
        <v>0.83</v>
      </c>
      <c r="N25">
        <v>1.1399999999999999</v>
      </c>
      <c r="O25">
        <v>1.52</v>
      </c>
    </row>
    <row r="26" spans="1:15" ht="16" x14ac:dyDescent="0.2">
      <c r="A26" s="3" t="s">
        <v>78</v>
      </c>
      <c r="B26" s="1">
        <v>1504326.42</v>
      </c>
      <c r="C26" s="1">
        <v>104808.47</v>
      </c>
      <c r="D26" s="1">
        <v>31172.86</v>
      </c>
      <c r="E26" s="1">
        <v>93767</v>
      </c>
      <c r="F26" s="6">
        <v>1.1177543272153316</v>
      </c>
      <c r="G26" t="s">
        <v>117</v>
      </c>
      <c r="H26" t="s">
        <v>122</v>
      </c>
      <c r="I26" t="s">
        <v>148</v>
      </c>
      <c r="J26" s="1">
        <v>16.043239305939188</v>
      </c>
      <c r="K26" s="1">
        <v>1340.8050149999942</v>
      </c>
      <c r="L26" s="2">
        <v>1.2792907052263946E-2</v>
      </c>
      <c r="M26" s="7">
        <v>0.78</v>
      </c>
      <c r="N26" s="7">
        <v>1.1200000000000001</v>
      </c>
      <c r="O26" s="7">
        <v>2.67</v>
      </c>
    </row>
    <row r="27" spans="1:15" ht="16" x14ac:dyDescent="0.2">
      <c r="A27" s="3" t="s">
        <v>77</v>
      </c>
      <c r="B27" s="1">
        <v>1311823.8799999999</v>
      </c>
      <c r="C27" s="1">
        <v>75599.429999999993</v>
      </c>
      <c r="D27" s="1">
        <v>22021.13</v>
      </c>
      <c r="E27" s="1">
        <v>67447</v>
      </c>
      <c r="F27" s="6">
        <v>1.1208716473675626</v>
      </c>
      <c r="G27" t="s">
        <v>117</v>
      </c>
      <c r="H27" t="s">
        <v>126</v>
      </c>
      <c r="I27" t="s">
        <v>147</v>
      </c>
      <c r="J27" s="1">
        <v>19.449699467730216</v>
      </c>
      <c r="K27" s="1">
        <v>1174.7006149999909</v>
      </c>
      <c r="L27" s="2">
        <v>1.5538485078524943E-2</v>
      </c>
      <c r="M27" s="7">
        <v>0.91</v>
      </c>
      <c r="N27" s="7">
        <v>2.0499999999999998</v>
      </c>
      <c r="O27" s="7">
        <v>1.64</v>
      </c>
    </row>
    <row r="28" spans="1:15" ht="16" hidden="1" x14ac:dyDescent="0.2">
      <c r="A28" s="3" t="s">
        <v>40</v>
      </c>
      <c r="B28" s="1">
        <v>1808212.21</v>
      </c>
      <c r="C28" s="1">
        <v>122709.42</v>
      </c>
      <c r="D28" s="1">
        <v>35455.660000000003</v>
      </c>
      <c r="E28" s="1">
        <v>110528</v>
      </c>
      <c r="F28" s="6">
        <v>1.11021116821077</v>
      </c>
      <c r="G28" t="s">
        <v>117</v>
      </c>
      <c r="H28" t="s">
        <v>127</v>
      </c>
      <c r="I28" t="s">
        <v>149</v>
      </c>
      <c r="J28" s="1">
        <v>16.359765941661841</v>
      </c>
      <c r="K28" s="1">
        <v>746.74575999998251</v>
      </c>
      <c r="L28" s="2">
        <v>6.0854803160179756E-3</v>
      </c>
      <c r="M28">
        <v>0.89</v>
      </c>
      <c r="N28">
        <v>2.5499999999999998</v>
      </c>
      <c r="O28">
        <v>2.54</v>
      </c>
    </row>
    <row r="29" spans="1:15" ht="16" hidden="1" x14ac:dyDescent="0.2">
      <c r="A29" s="3" t="s">
        <v>45</v>
      </c>
      <c r="B29" s="1">
        <v>1994111.9</v>
      </c>
      <c r="C29" s="1">
        <v>154566.53</v>
      </c>
      <c r="D29" s="1">
        <v>38320.519999999997</v>
      </c>
      <c r="E29" s="1">
        <v>139762</v>
      </c>
      <c r="F29" s="6">
        <v>1.1059267182782158</v>
      </c>
      <c r="G29" t="s">
        <v>117</v>
      </c>
      <c r="H29" t="s">
        <v>124</v>
      </c>
      <c r="I29" t="s">
        <v>150</v>
      </c>
      <c r="J29" s="1">
        <v>14.267911878765329</v>
      </c>
      <c r="K29" s="1">
        <v>345.45228999998045</v>
      </c>
      <c r="L29" s="2">
        <v>2.2349747387094767E-3</v>
      </c>
      <c r="M29">
        <v>0.8</v>
      </c>
      <c r="N29">
        <v>3.1</v>
      </c>
      <c r="O29">
        <v>4.6500000000000004</v>
      </c>
    </row>
    <row r="30" spans="1:15" ht="16" hidden="1" x14ac:dyDescent="0.2">
      <c r="A30" s="3" t="s">
        <v>31</v>
      </c>
      <c r="B30" s="1">
        <v>3133673.76</v>
      </c>
      <c r="C30" s="1">
        <v>174433.94</v>
      </c>
      <c r="D30" s="1">
        <v>54325.53</v>
      </c>
      <c r="E30" s="1">
        <v>171852</v>
      </c>
      <c r="F30" s="6">
        <v>1.0150242068756838</v>
      </c>
      <c r="G30" t="s">
        <v>117</v>
      </c>
      <c r="H30" t="s">
        <v>124</v>
      </c>
      <c r="I30" t="s">
        <v>167</v>
      </c>
      <c r="J30" s="1">
        <v>18.234723832134627</v>
      </c>
      <c r="K30" s="1">
        <v>0</v>
      </c>
      <c r="L30" s="2">
        <v>0</v>
      </c>
      <c r="M30">
        <v>0.9</v>
      </c>
      <c r="N30">
        <v>4.3899999999999997</v>
      </c>
      <c r="O30">
        <v>4.1900000000000004</v>
      </c>
    </row>
    <row r="31" spans="1:15" ht="16" hidden="1" x14ac:dyDescent="0.2">
      <c r="A31" s="3" t="s">
        <v>69</v>
      </c>
      <c r="B31" s="1">
        <v>2664251.65</v>
      </c>
      <c r="C31" s="1">
        <v>150879.12</v>
      </c>
      <c r="D31" s="1">
        <v>42186.159999999996</v>
      </c>
      <c r="E31" s="1">
        <v>158141</v>
      </c>
      <c r="F31" s="6">
        <v>0.95407971367324096</v>
      </c>
      <c r="G31" t="s">
        <v>117</v>
      </c>
      <c r="H31" t="s">
        <v>128</v>
      </c>
      <c r="I31" t="s">
        <v>178</v>
      </c>
      <c r="J31" s="1">
        <v>16.847317583675327</v>
      </c>
      <c r="K31" s="1">
        <v>0</v>
      </c>
      <c r="L31" s="2">
        <v>0</v>
      </c>
      <c r="M31">
        <v>0.85</v>
      </c>
      <c r="N31">
        <v>4.09</v>
      </c>
      <c r="O31">
        <v>2.61</v>
      </c>
    </row>
    <row r="32" spans="1:15" ht="16" hidden="1" x14ac:dyDescent="0.2">
      <c r="A32" s="3" t="s">
        <v>44</v>
      </c>
      <c r="B32" s="1">
        <v>2367644.9</v>
      </c>
      <c r="C32" s="1">
        <v>129892.47</v>
      </c>
      <c r="D32" s="1">
        <v>30061.45</v>
      </c>
      <c r="E32" s="1">
        <v>134175</v>
      </c>
      <c r="F32" s="6">
        <v>0.96808250419228625</v>
      </c>
      <c r="G32" t="s">
        <v>117</v>
      </c>
      <c r="H32" t="s">
        <v>118</v>
      </c>
      <c r="I32" t="s">
        <v>174</v>
      </c>
      <c r="J32" s="1">
        <v>17.645946711384386</v>
      </c>
      <c r="K32" s="1">
        <v>0</v>
      </c>
      <c r="L32" s="2">
        <v>0</v>
      </c>
      <c r="M32">
        <v>0.91</v>
      </c>
      <c r="N32">
        <v>2.82</v>
      </c>
      <c r="O32">
        <v>2.5</v>
      </c>
    </row>
    <row r="33" spans="1:15" ht="16" hidden="1" x14ac:dyDescent="0.2">
      <c r="A33" s="3" t="s">
        <v>90</v>
      </c>
      <c r="B33" s="1">
        <v>2357418.36</v>
      </c>
      <c r="C33" s="1">
        <v>139717.46</v>
      </c>
      <c r="D33" s="1">
        <v>40045.35</v>
      </c>
      <c r="E33" s="1">
        <v>136028</v>
      </c>
      <c r="F33" s="6">
        <v>1.0271227982474196</v>
      </c>
      <c r="G33" t="s">
        <v>117</v>
      </c>
      <c r="H33" t="s">
        <v>122</v>
      </c>
      <c r="I33" t="s">
        <v>165</v>
      </c>
      <c r="J33" s="1">
        <v>17.330390507836622</v>
      </c>
      <c r="K33" s="1">
        <v>0</v>
      </c>
      <c r="L33" s="2">
        <v>0</v>
      </c>
      <c r="M33">
        <v>0.89</v>
      </c>
      <c r="N33">
        <v>1.93</v>
      </c>
      <c r="O33">
        <v>3.55</v>
      </c>
    </row>
    <row r="34" spans="1:15" ht="16" hidden="1" x14ac:dyDescent="0.2">
      <c r="A34" s="3" t="s">
        <v>86</v>
      </c>
      <c r="B34" s="1">
        <v>2197056.09</v>
      </c>
      <c r="C34" s="1">
        <v>133958.45000000001</v>
      </c>
      <c r="D34" s="1">
        <v>29868.19</v>
      </c>
      <c r="E34" s="1">
        <v>126487</v>
      </c>
      <c r="F34" s="6">
        <v>1.0590689161732036</v>
      </c>
      <c r="G34" t="s">
        <v>117</v>
      </c>
      <c r="H34" t="s">
        <v>127</v>
      </c>
      <c r="I34" t="s">
        <v>161</v>
      </c>
      <c r="J34" s="1">
        <v>17.369817372536307</v>
      </c>
      <c r="K34" s="1">
        <v>0</v>
      </c>
      <c r="L34" s="2">
        <v>0</v>
      </c>
      <c r="M34">
        <v>0.6</v>
      </c>
      <c r="N34">
        <v>1.94</v>
      </c>
      <c r="O34">
        <v>2.65</v>
      </c>
    </row>
    <row r="35" spans="1:15" ht="16" hidden="1" x14ac:dyDescent="0.2">
      <c r="A35" s="3" t="s">
        <v>54</v>
      </c>
      <c r="B35" s="1">
        <v>2175358.09</v>
      </c>
      <c r="C35" s="1">
        <v>131670.07999999999</v>
      </c>
      <c r="D35" s="1">
        <v>46937.68</v>
      </c>
      <c r="E35" s="1">
        <v>137029</v>
      </c>
      <c r="F35" s="6">
        <v>0.96089207394055265</v>
      </c>
      <c r="G35" t="s">
        <v>117</v>
      </c>
      <c r="H35" t="s">
        <v>119</v>
      </c>
      <c r="I35" t="s">
        <v>176</v>
      </c>
      <c r="J35" s="1">
        <v>15.875165767830167</v>
      </c>
      <c r="K35" s="1">
        <v>0</v>
      </c>
      <c r="L35" s="2">
        <v>0</v>
      </c>
      <c r="M35">
        <v>0.83</v>
      </c>
      <c r="N35">
        <v>2.92</v>
      </c>
      <c r="O35">
        <v>3.43</v>
      </c>
    </row>
    <row r="36" spans="1:15" ht="16" hidden="1" x14ac:dyDescent="0.2">
      <c r="A36" s="3" t="s">
        <v>87</v>
      </c>
      <c r="B36" s="1">
        <v>2128079.25</v>
      </c>
      <c r="C36" s="1">
        <v>138802.53</v>
      </c>
      <c r="D36" s="1">
        <v>37515.86</v>
      </c>
      <c r="E36" s="1">
        <v>131889</v>
      </c>
      <c r="F36" s="6">
        <v>1.0524193071446444</v>
      </c>
      <c r="G36" t="s">
        <v>116</v>
      </c>
      <c r="H36" t="s">
        <v>119</v>
      </c>
      <c r="I36" t="s">
        <v>162</v>
      </c>
      <c r="J36" s="1">
        <v>16.135380888474398</v>
      </c>
      <c r="K36" s="1">
        <v>0</v>
      </c>
      <c r="L36" s="2">
        <v>0</v>
      </c>
      <c r="M36">
        <v>0.88</v>
      </c>
      <c r="N36">
        <v>3.42</v>
      </c>
      <c r="O36">
        <v>3.45</v>
      </c>
    </row>
    <row r="37" spans="1:15" ht="16" hidden="1" x14ac:dyDescent="0.2">
      <c r="A37" s="3" t="s">
        <v>100</v>
      </c>
      <c r="B37" s="1">
        <v>1837036.24</v>
      </c>
      <c r="C37" s="1">
        <v>109841.66</v>
      </c>
      <c r="D37" s="1">
        <v>25969.47</v>
      </c>
      <c r="E37" s="1">
        <v>116425</v>
      </c>
      <c r="F37" s="6">
        <v>0.94345424092763586</v>
      </c>
      <c r="G37" t="s">
        <v>117</v>
      </c>
      <c r="H37" t="s">
        <v>131</v>
      </c>
      <c r="I37" t="s">
        <v>181</v>
      </c>
      <c r="J37" s="1">
        <v>15.778709383723427</v>
      </c>
      <c r="K37" s="1">
        <v>0</v>
      </c>
      <c r="L37" s="2">
        <v>0</v>
      </c>
      <c r="M37">
        <v>0.87</v>
      </c>
      <c r="N37">
        <v>2.64</v>
      </c>
      <c r="O37">
        <v>1.7</v>
      </c>
    </row>
    <row r="38" spans="1:15" ht="16" hidden="1" x14ac:dyDescent="0.2">
      <c r="A38" s="3" t="s">
        <v>81</v>
      </c>
      <c r="B38" s="1">
        <v>1782026.41</v>
      </c>
      <c r="C38" s="1">
        <v>104242.43</v>
      </c>
      <c r="D38" s="1">
        <v>26650.01</v>
      </c>
      <c r="E38" s="1">
        <v>95542</v>
      </c>
      <c r="F38" s="6">
        <v>1.0910639299993719</v>
      </c>
      <c r="G38" t="s">
        <v>117</v>
      </c>
      <c r="H38" t="s">
        <v>124</v>
      </c>
      <c r="I38" t="s">
        <v>154</v>
      </c>
      <c r="J38" s="1">
        <v>18.65175954030688</v>
      </c>
      <c r="K38" s="1">
        <v>0</v>
      </c>
      <c r="L38" s="2">
        <v>0</v>
      </c>
      <c r="M38">
        <v>0.81</v>
      </c>
      <c r="N38">
        <v>1.88</v>
      </c>
      <c r="O38">
        <v>2.2000000000000002</v>
      </c>
    </row>
    <row r="39" spans="1:15" ht="16" hidden="1" x14ac:dyDescent="0.2">
      <c r="A39" s="3" t="s">
        <v>96</v>
      </c>
      <c r="B39" s="1">
        <v>1682755.19</v>
      </c>
      <c r="C39" s="1">
        <v>102961.43</v>
      </c>
      <c r="D39" s="1">
        <v>26265.1</v>
      </c>
      <c r="E39" s="1">
        <v>104445</v>
      </c>
      <c r="F39" s="6">
        <v>0.98579568193786193</v>
      </c>
      <c r="G39" t="s">
        <v>117</v>
      </c>
      <c r="H39" t="s">
        <v>124</v>
      </c>
      <c r="I39" t="s">
        <v>173</v>
      </c>
      <c r="J39" s="1">
        <v>16.11140016276509</v>
      </c>
      <c r="K39" s="1">
        <v>0</v>
      </c>
      <c r="L39" s="2">
        <v>0</v>
      </c>
      <c r="M39">
        <v>0.89</v>
      </c>
      <c r="N39">
        <v>1.8</v>
      </c>
      <c r="O39">
        <v>1.69</v>
      </c>
    </row>
    <row r="40" spans="1:15" ht="16" hidden="1" x14ac:dyDescent="0.2">
      <c r="A40" s="3" t="s">
        <v>94</v>
      </c>
      <c r="B40" s="1">
        <v>1659595.1099999999</v>
      </c>
      <c r="C40" s="1">
        <v>108006.77</v>
      </c>
      <c r="D40" s="1">
        <v>31311.02</v>
      </c>
      <c r="E40" s="1">
        <v>109304</v>
      </c>
      <c r="F40" s="6">
        <v>0.98813190734099399</v>
      </c>
      <c r="G40" t="s">
        <v>117</v>
      </c>
      <c r="H40" t="s">
        <v>120</v>
      </c>
      <c r="I40" t="s">
        <v>171</v>
      </c>
      <c r="J40" s="1">
        <v>15.183297134597085</v>
      </c>
      <c r="K40" s="1">
        <v>0</v>
      </c>
      <c r="L40" s="2">
        <v>0</v>
      </c>
      <c r="M40">
        <v>0.92</v>
      </c>
      <c r="N40">
        <v>1.78</v>
      </c>
      <c r="O40">
        <v>2.66</v>
      </c>
    </row>
    <row r="41" spans="1:15" ht="16" hidden="1" x14ac:dyDescent="0.2">
      <c r="A41" s="3" t="s">
        <v>33</v>
      </c>
      <c r="B41" s="1">
        <v>1650538.07</v>
      </c>
      <c r="C41" s="1">
        <v>108468.02</v>
      </c>
      <c r="D41" s="1">
        <v>30228.190000000002</v>
      </c>
      <c r="E41" s="1">
        <v>101084</v>
      </c>
      <c r="F41" s="6">
        <v>1.0730483558228801</v>
      </c>
      <c r="G41" t="s">
        <v>117</v>
      </c>
      <c r="H41" t="s">
        <v>130</v>
      </c>
      <c r="I41" t="s">
        <v>158</v>
      </c>
      <c r="J41" s="1">
        <v>16.328381049424241</v>
      </c>
      <c r="K41" s="1">
        <v>0</v>
      </c>
      <c r="L41" s="2">
        <v>0</v>
      </c>
      <c r="M41">
        <v>0.86</v>
      </c>
      <c r="N41">
        <v>1.67</v>
      </c>
      <c r="O41">
        <v>2.59</v>
      </c>
    </row>
    <row r="42" spans="1:15" ht="16" hidden="1" x14ac:dyDescent="0.2">
      <c r="A42" s="3" t="s">
        <v>18</v>
      </c>
      <c r="B42" s="1">
        <v>1644725.11</v>
      </c>
      <c r="C42" s="1">
        <v>129679.53</v>
      </c>
      <c r="D42" s="1">
        <v>28073.68</v>
      </c>
      <c r="E42" s="1">
        <v>122317</v>
      </c>
      <c r="F42" s="6">
        <v>1.0601922054988269</v>
      </c>
      <c r="G42" t="s">
        <v>117</v>
      </c>
      <c r="H42" t="s">
        <v>123</v>
      </c>
      <c r="I42" t="s">
        <v>160</v>
      </c>
      <c r="J42" s="1">
        <v>13.44641472567182</v>
      </c>
      <c r="K42" s="1">
        <v>0</v>
      </c>
      <c r="L42" s="2">
        <v>0</v>
      </c>
      <c r="M42">
        <v>0.38</v>
      </c>
      <c r="N42">
        <v>1.64</v>
      </c>
      <c r="O42">
        <v>2.77</v>
      </c>
    </row>
    <row r="43" spans="1:15" ht="16" hidden="1" x14ac:dyDescent="0.2">
      <c r="A43" s="3" t="s">
        <v>56</v>
      </c>
      <c r="B43" s="1">
        <v>1640048.73</v>
      </c>
      <c r="C43" s="1">
        <v>110292.59</v>
      </c>
      <c r="D43" s="1">
        <v>30491.43</v>
      </c>
      <c r="E43" s="1">
        <v>100385</v>
      </c>
      <c r="F43" s="6">
        <v>1.0986959207052847</v>
      </c>
      <c r="G43" t="s">
        <v>117</v>
      </c>
      <c r="H43" t="s">
        <v>124</v>
      </c>
      <c r="I43" t="s">
        <v>153</v>
      </c>
      <c r="J43" s="1">
        <v>16.33758758778702</v>
      </c>
      <c r="K43" s="1">
        <v>0</v>
      </c>
      <c r="L43" s="2">
        <v>0</v>
      </c>
      <c r="M43">
        <v>0.81</v>
      </c>
      <c r="N43">
        <v>2.69</v>
      </c>
      <c r="O43">
        <v>0.92</v>
      </c>
    </row>
    <row r="44" spans="1:15" ht="16" hidden="1" x14ac:dyDescent="0.2">
      <c r="A44" s="3" t="s">
        <v>98</v>
      </c>
      <c r="B44" s="1">
        <v>1638548.62</v>
      </c>
      <c r="C44" s="1">
        <v>91011.79</v>
      </c>
      <c r="D44" s="1">
        <v>27453.91</v>
      </c>
      <c r="E44" s="1">
        <v>95112</v>
      </c>
      <c r="F44" s="6">
        <v>0.95689071831104378</v>
      </c>
      <c r="G44" t="s">
        <v>117</v>
      </c>
      <c r="H44" t="s">
        <v>131</v>
      </c>
      <c r="I44" t="s">
        <v>177</v>
      </c>
      <c r="J44" s="1">
        <v>17.227569812431661</v>
      </c>
      <c r="K44" s="1">
        <v>0</v>
      </c>
      <c r="L44" s="2">
        <v>0</v>
      </c>
      <c r="M44">
        <v>0.93</v>
      </c>
      <c r="N44">
        <v>1.72</v>
      </c>
      <c r="O44">
        <v>1.76</v>
      </c>
    </row>
    <row r="45" spans="1:15" ht="16" hidden="1" x14ac:dyDescent="0.2">
      <c r="A45" s="3" t="s">
        <v>92</v>
      </c>
      <c r="B45" s="1">
        <v>1634289.45</v>
      </c>
      <c r="C45" s="1">
        <v>105443.99</v>
      </c>
      <c r="D45" s="1">
        <v>37993.68</v>
      </c>
      <c r="E45" s="1">
        <v>106008</v>
      </c>
      <c r="F45" s="6">
        <v>0.99467955248660478</v>
      </c>
      <c r="G45" t="s">
        <v>117</v>
      </c>
      <c r="H45" t="s">
        <v>130</v>
      </c>
      <c r="I45" t="s">
        <v>169</v>
      </c>
      <c r="J45" s="1">
        <v>15.416661478378989</v>
      </c>
      <c r="K45" s="1">
        <v>0</v>
      </c>
      <c r="L45" s="2">
        <v>0</v>
      </c>
      <c r="M45">
        <v>0.87</v>
      </c>
      <c r="N45">
        <v>2.7</v>
      </c>
      <c r="O45">
        <v>2.64</v>
      </c>
    </row>
    <row r="46" spans="1:15" ht="16" hidden="1" x14ac:dyDescent="0.2">
      <c r="A46" s="3" t="s">
        <v>99</v>
      </c>
      <c r="B46" s="1">
        <v>1624401.26</v>
      </c>
      <c r="C46" s="1">
        <v>102420.25</v>
      </c>
      <c r="D46" s="1">
        <v>29972.94</v>
      </c>
      <c r="E46" s="1">
        <v>108154</v>
      </c>
      <c r="F46" s="6">
        <v>0.94698531723283463</v>
      </c>
      <c r="G46" t="s">
        <v>117</v>
      </c>
      <c r="H46" t="s">
        <v>128</v>
      </c>
      <c r="I46" t="s">
        <v>179</v>
      </c>
      <c r="J46" s="1">
        <v>15.019335946890545</v>
      </c>
      <c r="K46" s="1">
        <v>0</v>
      </c>
      <c r="L46" s="2">
        <v>0</v>
      </c>
      <c r="M46">
        <v>0.54</v>
      </c>
      <c r="N46">
        <v>2.98</v>
      </c>
      <c r="O46">
        <v>1.84</v>
      </c>
    </row>
    <row r="47" spans="1:15" ht="16" hidden="1" x14ac:dyDescent="0.2">
      <c r="A47" s="3" t="s">
        <v>89</v>
      </c>
      <c r="B47" s="1">
        <v>1584351.07</v>
      </c>
      <c r="C47" s="1">
        <v>102539.61</v>
      </c>
      <c r="D47" s="1">
        <v>31174.11</v>
      </c>
      <c r="E47" s="1">
        <v>99575</v>
      </c>
      <c r="F47" s="6">
        <v>1.029772633693196</v>
      </c>
      <c r="G47" t="s">
        <v>117</v>
      </c>
      <c r="H47" t="s">
        <v>127</v>
      </c>
      <c r="I47" t="s">
        <v>164</v>
      </c>
      <c r="J47" s="1">
        <v>15.911133015315089</v>
      </c>
      <c r="K47" s="1">
        <v>0</v>
      </c>
      <c r="L47" s="2">
        <v>0</v>
      </c>
      <c r="M47">
        <v>0.9</v>
      </c>
      <c r="N47">
        <v>1.88</v>
      </c>
      <c r="O47">
        <v>2.65</v>
      </c>
    </row>
    <row r="48" spans="1:15" ht="16" x14ac:dyDescent="0.2">
      <c r="A48" s="3" t="s">
        <v>95</v>
      </c>
      <c r="B48" s="1">
        <v>1565047.83</v>
      </c>
      <c r="C48" s="1">
        <v>94669.78</v>
      </c>
      <c r="D48" s="1">
        <v>24872.04</v>
      </c>
      <c r="E48" s="1">
        <v>95959</v>
      </c>
      <c r="F48" s="6">
        <v>0.98656488708719348</v>
      </c>
      <c r="G48" t="s">
        <v>117</v>
      </c>
      <c r="H48" t="s">
        <v>127</v>
      </c>
      <c r="I48" t="s">
        <v>172</v>
      </c>
      <c r="J48" s="1">
        <v>16.309547098239875</v>
      </c>
      <c r="K48" s="1">
        <v>0</v>
      </c>
      <c r="L48" s="2">
        <v>0</v>
      </c>
      <c r="M48" s="7">
        <v>0.68</v>
      </c>
      <c r="N48" s="7">
        <v>1.68</v>
      </c>
      <c r="O48" s="7">
        <v>2.0099999999999998</v>
      </c>
    </row>
    <row r="49" spans="1:15" ht="16" x14ac:dyDescent="0.2">
      <c r="A49" s="3" t="s">
        <v>62</v>
      </c>
      <c r="B49" s="1">
        <v>1560579.3800000001</v>
      </c>
      <c r="C49" s="1">
        <v>98541.48</v>
      </c>
      <c r="D49" s="1">
        <v>28697.21</v>
      </c>
      <c r="E49" s="1">
        <v>104091</v>
      </c>
      <c r="F49" s="6">
        <v>0.94668588062368497</v>
      </c>
      <c r="G49" t="s">
        <v>117</v>
      </c>
      <c r="H49" t="s">
        <v>125</v>
      </c>
      <c r="I49" t="s">
        <v>180</v>
      </c>
      <c r="J49" s="1">
        <v>14.992452565543612</v>
      </c>
      <c r="K49" s="1">
        <v>0</v>
      </c>
      <c r="L49" s="2">
        <v>0</v>
      </c>
      <c r="M49" s="7">
        <v>0.12</v>
      </c>
      <c r="N49" s="7">
        <v>1.8</v>
      </c>
      <c r="O49" s="7">
        <v>1.69</v>
      </c>
    </row>
    <row r="50" spans="1:15" ht="16" x14ac:dyDescent="0.2">
      <c r="A50" s="3" t="s">
        <v>19</v>
      </c>
      <c r="B50" s="1">
        <v>1559378.57</v>
      </c>
      <c r="C50" s="1">
        <v>100957.38</v>
      </c>
      <c r="D50" s="1">
        <v>28418.560000000001</v>
      </c>
      <c r="E50" s="1">
        <v>109587</v>
      </c>
      <c r="F50" s="6">
        <v>0.92125325084179699</v>
      </c>
      <c r="G50" t="s">
        <v>117</v>
      </c>
      <c r="H50" t="s">
        <v>126</v>
      </c>
      <c r="I50" t="s">
        <v>182</v>
      </c>
      <c r="J50" s="1">
        <v>14.229594477447144</v>
      </c>
      <c r="K50" s="1">
        <v>0</v>
      </c>
      <c r="L50" s="2">
        <v>0</v>
      </c>
      <c r="M50" s="7">
        <v>0.85</v>
      </c>
      <c r="N50" s="7">
        <v>1.18</v>
      </c>
      <c r="O50" s="7">
        <v>2.58</v>
      </c>
    </row>
    <row r="51" spans="1:15" ht="16" x14ac:dyDescent="0.2">
      <c r="A51" s="3" t="s">
        <v>22</v>
      </c>
      <c r="B51" s="1">
        <v>1555373.54</v>
      </c>
      <c r="C51" s="1">
        <v>115051.43</v>
      </c>
      <c r="D51" s="1">
        <v>31260.87</v>
      </c>
      <c r="E51" s="1">
        <v>114526</v>
      </c>
      <c r="F51" s="6">
        <v>1.0045878665106613</v>
      </c>
      <c r="G51" t="s">
        <v>117</v>
      </c>
      <c r="H51" t="s">
        <v>129</v>
      </c>
      <c r="I51" t="s">
        <v>168</v>
      </c>
      <c r="J51" s="1">
        <v>13.580964497144754</v>
      </c>
      <c r="K51" s="1">
        <v>0</v>
      </c>
      <c r="L51" s="2">
        <v>0</v>
      </c>
      <c r="M51" s="7">
        <v>0.65</v>
      </c>
      <c r="N51" s="7">
        <v>1.87</v>
      </c>
      <c r="O51" s="7">
        <v>1.78</v>
      </c>
    </row>
    <row r="52" spans="1:15" ht="16" x14ac:dyDescent="0.2">
      <c r="A52" s="3" t="s">
        <v>102</v>
      </c>
      <c r="B52" s="1">
        <v>1538371.57</v>
      </c>
      <c r="C52" s="1">
        <v>96362.06</v>
      </c>
      <c r="D52" s="1">
        <v>26786.690000000002</v>
      </c>
      <c r="E52" s="1">
        <v>104628</v>
      </c>
      <c r="F52" s="6">
        <v>0.92099686508391632</v>
      </c>
      <c r="G52" t="s">
        <v>117</v>
      </c>
      <c r="H52" t="s">
        <v>125</v>
      </c>
      <c r="I52" t="s">
        <v>183</v>
      </c>
      <c r="J52" s="1">
        <v>14.703249321405361</v>
      </c>
      <c r="K52" s="1">
        <v>0</v>
      </c>
      <c r="L52" s="2">
        <v>0</v>
      </c>
      <c r="M52" s="7">
        <v>0.85</v>
      </c>
      <c r="N52" s="7">
        <v>1.64</v>
      </c>
      <c r="O52" s="7">
        <v>2.42</v>
      </c>
    </row>
    <row r="53" spans="1:15" ht="16" x14ac:dyDescent="0.2">
      <c r="A53" s="3" t="s">
        <v>103</v>
      </c>
      <c r="B53" s="1">
        <v>1524280.2</v>
      </c>
      <c r="C53" s="1">
        <v>96171.56</v>
      </c>
      <c r="D53" s="1">
        <v>24204.22</v>
      </c>
      <c r="E53" s="1">
        <v>104604</v>
      </c>
      <c r="F53" s="6">
        <v>0.91938702152881335</v>
      </c>
      <c r="G53" t="s">
        <v>117</v>
      </c>
      <c r="H53" t="s">
        <v>125</v>
      </c>
      <c r="I53" t="s">
        <v>184</v>
      </c>
      <c r="J53" s="1">
        <v>14.571911207984398</v>
      </c>
      <c r="K53" s="1">
        <v>0</v>
      </c>
      <c r="L53" s="2">
        <v>0</v>
      </c>
      <c r="M53" s="7">
        <v>0.87</v>
      </c>
      <c r="N53" s="7">
        <v>0.77</v>
      </c>
      <c r="O53" s="7">
        <v>2.54</v>
      </c>
    </row>
    <row r="54" spans="1:15" ht="16" x14ac:dyDescent="0.2">
      <c r="A54" s="3" t="s">
        <v>101</v>
      </c>
      <c r="B54" s="1">
        <v>1507386.54</v>
      </c>
      <c r="C54" s="1">
        <v>89984.69</v>
      </c>
      <c r="D54" s="1">
        <v>23676.83</v>
      </c>
      <c r="E54" s="1">
        <v>96309</v>
      </c>
      <c r="F54" s="6">
        <v>0.93433313605166701</v>
      </c>
      <c r="G54" t="s">
        <v>117</v>
      </c>
      <c r="H54" t="s">
        <v>128</v>
      </c>
      <c r="I54" t="s">
        <v>179</v>
      </c>
      <c r="J54" s="1">
        <v>15.651564651278697</v>
      </c>
      <c r="K54" s="1">
        <v>0</v>
      </c>
      <c r="L54" s="2">
        <v>0</v>
      </c>
      <c r="M54" s="7">
        <v>0.84</v>
      </c>
      <c r="N54" s="7">
        <v>1.97</v>
      </c>
      <c r="O54" s="7">
        <v>1.7</v>
      </c>
    </row>
    <row r="55" spans="1:15" ht="16" x14ac:dyDescent="0.2">
      <c r="A55" s="3" t="s">
        <v>88</v>
      </c>
      <c r="B55" s="1">
        <v>1463999.96</v>
      </c>
      <c r="C55" s="1">
        <v>101673.37</v>
      </c>
      <c r="D55" s="1">
        <v>28354.42</v>
      </c>
      <c r="E55" s="1">
        <v>96810</v>
      </c>
      <c r="F55" s="6">
        <v>1.0502362359260407</v>
      </c>
      <c r="G55" t="s">
        <v>117</v>
      </c>
      <c r="H55" t="s">
        <v>130</v>
      </c>
      <c r="I55" t="s">
        <v>163</v>
      </c>
      <c r="J55" s="1">
        <v>15.122404297076748</v>
      </c>
      <c r="K55" s="1">
        <v>0</v>
      </c>
      <c r="L55" s="2">
        <v>0</v>
      </c>
      <c r="M55" s="7">
        <v>0.89</v>
      </c>
      <c r="N55" s="7">
        <v>1.6</v>
      </c>
      <c r="O55" s="7">
        <v>2.46</v>
      </c>
    </row>
    <row r="56" spans="1:15" ht="16" x14ac:dyDescent="0.2">
      <c r="A56" s="3" t="s">
        <v>84</v>
      </c>
      <c r="B56" s="1">
        <v>1415429.65</v>
      </c>
      <c r="C56" s="1">
        <v>93036.73</v>
      </c>
      <c r="D56" s="1">
        <v>25665.3</v>
      </c>
      <c r="E56" s="1">
        <v>86564</v>
      </c>
      <c r="F56" s="6">
        <v>1.0747739244951711</v>
      </c>
      <c r="G56" t="s">
        <v>117</v>
      </c>
      <c r="H56" t="s">
        <v>120</v>
      </c>
      <c r="I56" t="s">
        <v>157</v>
      </c>
      <c r="J56" s="1">
        <v>16.351250519846587</v>
      </c>
      <c r="K56" s="1">
        <v>0</v>
      </c>
      <c r="L56" s="2">
        <v>0</v>
      </c>
      <c r="M56" s="7">
        <v>0.96</v>
      </c>
      <c r="N56" s="7">
        <v>1.06</v>
      </c>
      <c r="O56" s="7">
        <v>1.53</v>
      </c>
    </row>
    <row r="57" spans="1:15" ht="16" x14ac:dyDescent="0.2">
      <c r="A57" s="3" t="s">
        <v>85</v>
      </c>
      <c r="B57" s="1">
        <v>1367388.86</v>
      </c>
      <c r="C57" s="1">
        <v>103357.2</v>
      </c>
      <c r="D57" s="1">
        <v>26062.080000000002</v>
      </c>
      <c r="E57" s="1">
        <v>96484</v>
      </c>
      <c r="F57" s="6">
        <v>1.0712366817296131</v>
      </c>
      <c r="G57" t="s">
        <v>117</v>
      </c>
      <c r="H57" t="s">
        <v>125</v>
      </c>
      <c r="I57" t="s">
        <v>159</v>
      </c>
      <c r="J57" s="1">
        <v>14.172182538037395</v>
      </c>
      <c r="K57" s="1">
        <v>0</v>
      </c>
      <c r="L57" s="2">
        <v>0</v>
      </c>
      <c r="M57" s="7">
        <v>0.86</v>
      </c>
      <c r="N57" s="7">
        <v>1.65</v>
      </c>
      <c r="O57" s="7">
        <v>2.59</v>
      </c>
    </row>
    <row r="58" spans="1:15" ht="16" x14ac:dyDescent="0.2">
      <c r="A58" s="3" t="s">
        <v>82</v>
      </c>
      <c r="B58" s="1">
        <v>1357083.97</v>
      </c>
      <c r="C58" s="1">
        <v>93409.279999999999</v>
      </c>
      <c r="D58" s="1">
        <v>23123.010000000002</v>
      </c>
      <c r="E58" s="1">
        <v>86230</v>
      </c>
      <c r="F58" s="6">
        <v>1.0832573350342107</v>
      </c>
      <c r="G58" t="s">
        <v>117</v>
      </c>
      <c r="H58" t="s">
        <v>121</v>
      </c>
      <c r="I58" t="s">
        <v>155</v>
      </c>
      <c r="J58" s="1">
        <v>15.737956279717036</v>
      </c>
      <c r="K58" s="1">
        <v>0</v>
      </c>
      <c r="L58" s="2">
        <v>0</v>
      </c>
      <c r="M58" s="7">
        <v>0.75</v>
      </c>
      <c r="N58" s="7">
        <v>1.89</v>
      </c>
      <c r="O58" s="7">
        <v>1.63</v>
      </c>
    </row>
    <row r="59" spans="1:15" ht="16" x14ac:dyDescent="0.2">
      <c r="A59" s="3" t="s">
        <v>97</v>
      </c>
      <c r="B59" s="1">
        <v>1356507.3</v>
      </c>
      <c r="C59" s="1">
        <v>87100.84</v>
      </c>
      <c r="D59" s="1">
        <v>21598.13</v>
      </c>
      <c r="E59" s="1">
        <v>90361</v>
      </c>
      <c r="F59" s="6">
        <v>0.96392071800887547</v>
      </c>
      <c r="G59" t="s">
        <v>117</v>
      </c>
      <c r="H59" t="s">
        <v>122</v>
      </c>
      <c r="I59" t="s">
        <v>175</v>
      </c>
      <c r="J59" s="1">
        <v>15.01208817963502</v>
      </c>
      <c r="K59" s="1">
        <v>0</v>
      </c>
      <c r="L59" s="2">
        <v>0</v>
      </c>
      <c r="M59" s="7">
        <v>0.11</v>
      </c>
      <c r="N59" s="7">
        <v>1.91</v>
      </c>
      <c r="O59" s="7">
        <v>1.6</v>
      </c>
    </row>
    <row r="60" spans="1:15" ht="16" x14ac:dyDescent="0.2">
      <c r="A60" s="3" t="s">
        <v>93</v>
      </c>
      <c r="B60" s="1">
        <v>1347444.84</v>
      </c>
      <c r="C60" s="1">
        <v>102002.68000000001</v>
      </c>
      <c r="D60" s="1">
        <v>24948.61</v>
      </c>
      <c r="E60" s="1">
        <v>102959</v>
      </c>
      <c r="F60" s="6">
        <v>0.99071164249847032</v>
      </c>
      <c r="G60" t="s">
        <v>117</v>
      </c>
      <c r="H60" t="s">
        <v>127</v>
      </c>
      <c r="I60" t="s">
        <v>170</v>
      </c>
      <c r="J60" s="1">
        <v>13.087198205110774</v>
      </c>
      <c r="K60" s="1">
        <v>0</v>
      </c>
      <c r="L60" s="2">
        <v>0</v>
      </c>
      <c r="M60" s="7">
        <v>0.81</v>
      </c>
      <c r="N60" s="7">
        <v>1.78</v>
      </c>
      <c r="O60" s="7">
        <v>2.52</v>
      </c>
    </row>
    <row r="61" spans="1:15" ht="16" x14ac:dyDescent="0.2">
      <c r="A61" s="3" t="s">
        <v>79</v>
      </c>
      <c r="B61" s="1">
        <v>1316340.19</v>
      </c>
      <c r="C61" s="1">
        <v>104928.15</v>
      </c>
      <c r="D61" s="1">
        <v>25463.040000000001</v>
      </c>
      <c r="E61" s="1">
        <v>95304</v>
      </c>
      <c r="F61" s="6">
        <v>1.1009836942835558</v>
      </c>
      <c r="G61" t="s">
        <v>117</v>
      </c>
      <c r="H61" t="s">
        <v>128</v>
      </c>
      <c r="I61" t="s">
        <v>151</v>
      </c>
      <c r="J61" s="1">
        <v>13.81201408125577</v>
      </c>
      <c r="K61" s="1">
        <v>0</v>
      </c>
      <c r="L61" s="2">
        <v>0</v>
      </c>
      <c r="M61" s="7">
        <v>0.84</v>
      </c>
      <c r="N61" s="7">
        <v>1.87</v>
      </c>
      <c r="O61" s="7">
        <v>1.93</v>
      </c>
    </row>
    <row r="62" spans="1:15" ht="16" x14ac:dyDescent="0.2">
      <c r="A62" s="3" t="s">
        <v>91</v>
      </c>
      <c r="B62" s="1">
        <v>1304017.57</v>
      </c>
      <c r="C62" s="1">
        <v>94966.69</v>
      </c>
      <c r="D62" s="1">
        <v>28522.920000000002</v>
      </c>
      <c r="E62" s="1">
        <v>92521</v>
      </c>
      <c r="F62" s="6">
        <v>1.0264338906842772</v>
      </c>
      <c r="G62" t="s">
        <v>116</v>
      </c>
      <c r="H62" t="s">
        <v>121</v>
      </c>
      <c r="I62" t="s">
        <v>166</v>
      </c>
      <c r="J62" s="1">
        <v>14.094287459063349</v>
      </c>
      <c r="K62" s="1">
        <v>0</v>
      </c>
      <c r="L62" s="2">
        <v>0</v>
      </c>
      <c r="M62" s="7">
        <v>0.83</v>
      </c>
      <c r="N62" s="7">
        <v>0.9</v>
      </c>
      <c r="O62" s="7">
        <v>2.29</v>
      </c>
    </row>
    <row r="63" spans="1:15" ht="16" x14ac:dyDescent="0.2">
      <c r="A63" s="3" t="s">
        <v>83</v>
      </c>
      <c r="B63" s="1">
        <v>1295245</v>
      </c>
      <c r="C63" s="1">
        <v>104711.67</v>
      </c>
      <c r="D63" s="1">
        <v>25543.72</v>
      </c>
      <c r="E63" s="1">
        <v>97104</v>
      </c>
      <c r="F63" s="6">
        <v>1.0783455882352941</v>
      </c>
      <c r="G63" t="s">
        <v>117</v>
      </c>
      <c r="H63" t="s">
        <v>120</v>
      </c>
      <c r="I63" t="s">
        <v>156</v>
      </c>
      <c r="J63" s="1">
        <v>13.338739907727797</v>
      </c>
      <c r="K63" s="1">
        <v>0</v>
      </c>
      <c r="L63" s="2">
        <v>0</v>
      </c>
      <c r="M63" s="7">
        <v>0.79</v>
      </c>
      <c r="N63" s="7">
        <v>1.52</v>
      </c>
      <c r="O63" s="7">
        <v>2.2000000000000002</v>
      </c>
    </row>
    <row r="64" spans="1:15" ht="16" x14ac:dyDescent="0.2">
      <c r="A64" s="3" t="s">
        <v>80</v>
      </c>
      <c r="B64" s="1">
        <v>1283613.5</v>
      </c>
      <c r="C64" s="1">
        <v>68504.350000000006</v>
      </c>
      <c r="D64" s="1">
        <v>24063.73</v>
      </c>
      <c r="E64" s="1">
        <v>62321</v>
      </c>
      <c r="F64" s="6">
        <v>1.099217759663677</v>
      </c>
      <c r="G64" t="s">
        <v>117</v>
      </c>
      <c r="H64" t="s">
        <v>129</v>
      </c>
      <c r="I64" t="s">
        <v>152</v>
      </c>
      <c r="J64" s="1">
        <v>20.596805250236677</v>
      </c>
      <c r="K64" s="1">
        <v>0</v>
      </c>
      <c r="L64" s="2">
        <v>0</v>
      </c>
      <c r="M64" s="7">
        <v>0.88</v>
      </c>
      <c r="N64" s="7">
        <v>1.9</v>
      </c>
      <c r="O64" s="7">
        <v>1.74</v>
      </c>
    </row>
    <row r="65" spans="1:18" ht="16" x14ac:dyDescent="0.2">
      <c r="A65" s="3" t="s">
        <v>228</v>
      </c>
      <c r="B65" s="1">
        <v>1246465.45</v>
      </c>
      <c r="C65" s="1">
        <v>94888.94</v>
      </c>
      <c r="D65" s="1">
        <v>25455.75</v>
      </c>
      <c r="E65" s="1">
        <v>82400</v>
      </c>
      <c r="F65" s="6">
        <v>1.1515648058252428</v>
      </c>
      <c r="G65" t="s">
        <v>117</v>
      </c>
      <c r="H65" t="s">
        <v>121</v>
      </c>
      <c r="I65" t="s">
        <v>229</v>
      </c>
      <c r="J65" s="1">
        <v>15.127007888349514</v>
      </c>
      <c r="K65" s="1">
        <v>0</v>
      </c>
      <c r="L65" s="2">
        <v>0</v>
      </c>
      <c r="M65" s="7">
        <v>0.85</v>
      </c>
      <c r="N65" s="7">
        <v>1.77</v>
      </c>
      <c r="O65" s="7">
        <v>1.76</v>
      </c>
    </row>
    <row r="66" spans="1:18" ht="16" x14ac:dyDescent="0.2">
      <c r="A66" s="3" t="s">
        <v>215</v>
      </c>
      <c r="B66" s="1">
        <v>1243669.92</v>
      </c>
      <c r="C66" s="1">
        <v>104061.49</v>
      </c>
      <c r="D66" s="1">
        <v>20186.689999999999</v>
      </c>
      <c r="E66" s="1">
        <v>81961</v>
      </c>
      <c r="F66" s="6">
        <v>1.2696464171984236</v>
      </c>
      <c r="G66" t="s">
        <v>117</v>
      </c>
      <c r="H66" t="s">
        <v>119</v>
      </c>
      <c r="I66" t="s">
        <v>200</v>
      </c>
      <c r="J66" s="1">
        <v>15.173923207379119</v>
      </c>
      <c r="K66" s="1">
        <v>0</v>
      </c>
      <c r="L66" s="2">
        <v>0</v>
      </c>
      <c r="M66" s="7">
        <v>0.8</v>
      </c>
      <c r="N66" s="7">
        <v>1.1000000000000001</v>
      </c>
      <c r="O66" s="7">
        <v>2.92</v>
      </c>
      <c r="P66" s="7">
        <f>MEDIAN(M48:M66)</f>
        <v>0.84</v>
      </c>
      <c r="Q66" s="7">
        <f t="shared" ref="Q66:R66" si="0">MEDIAN(N48:N66)</f>
        <v>1.68</v>
      </c>
      <c r="R66" s="7">
        <f t="shared" si="0"/>
        <v>2.0099999999999998</v>
      </c>
    </row>
    <row r="67" spans="1:18" ht="16" hidden="1" x14ac:dyDescent="0.2">
      <c r="A67" s="3" t="s">
        <v>231</v>
      </c>
      <c r="B67" s="1">
        <v>1185947.44</v>
      </c>
      <c r="C67" s="1">
        <v>99445.26</v>
      </c>
      <c r="D67" s="1">
        <v>25212.68</v>
      </c>
      <c r="E67" s="1">
        <v>88691</v>
      </c>
      <c r="F67" s="6">
        <v>1.1212553697669436</v>
      </c>
      <c r="G67" t="s">
        <v>117</v>
      </c>
      <c r="H67" t="s">
        <v>206</v>
      </c>
      <c r="I67" t="s">
        <v>232</v>
      </c>
      <c r="J67" s="1">
        <v>13.371677396804635</v>
      </c>
      <c r="K67" s="1">
        <v>0</v>
      </c>
      <c r="L67" s="2">
        <v>0</v>
      </c>
      <c r="M67">
        <v>0.6</v>
      </c>
      <c r="N67">
        <v>1.83</v>
      </c>
      <c r="O67">
        <v>2.71</v>
      </c>
    </row>
    <row r="68" spans="1:18" ht="16" hidden="1" x14ac:dyDescent="0.2">
      <c r="A68" s="3" t="s">
        <v>233</v>
      </c>
      <c r="B68" s="1">
        <v>1165500.3999999999</v>
      </c>
      <c r="C68" s="1">
        <v>95083.45</v>
      </c>
      <c r="D68" s="1">
        <v>21879.63</v>
      </c>
      <c r="E68" s="1">
        <v>85283</v>
      </c>
      <c r="F68" s="6">
        <v>1.1149168063975234</v>
      </c>
      <c r="G68" t="s">
        <v>117</v>
      </c>
      <c r="H68" t="s">
        <v>123</v>
      </c>
      <c r="I68" t="s">
        <v>234</v>
      </c>
      <c r="J68" s="1">
        <v>13.666268775723179</v>
      </c>
      <c r="K68" s="1">
        <v>0</v>
      </c>
      <c r="L68" s="2">
        <v>0</v>
      </c>
      <c r="M68">
        <v>0.85</v>
      </c>
      <c r="N68">
        <v>0.72</v>
      </c>
      <c r="O68">
        <v>2.0299999999999998</v>
      </c>
    </row>
    <row r="69" spans="1:18" ht="16" hidden="1" x14ac:dyDescent="0.2">
      <c r="A69" s="3" t="s">
        <v>49</v>
      </c>
      <c r="B69" s="1">
        <v>1138969.9099999999</v>
      </c>
      <c r="C69" s="1">
        <v>90317.23</v>
      </c>
      <c r="D69" s="1">
        <v>23166.29</v>
      </c>
      <c r="E69" s="1">
        <v>81440</v>
      </c>
      <c r="F69" s="6">
        <v>1.109003315324165</v>
      </c>
      <c r="G69" t="s">
        <v>117</v>
      </c>
      <c r="H69" t="s">
        <v>127</v>
      </c>
      <c r="I69" t="s">
        <v>236</v>
      </c>
      <c r="J69" s="1">
        <v>13.985386910609037</v>
      </c>
      <c r="K69" s="1">
        <v>0</v>
      </c>
      <c r="L69" s="2">
        <v>0</v>
      </c>
      <c r="M69">
        <v>0.88</v>
      </c>
      <c r="N69">
        <v>0.5</v>
      </c>
      <c r="O69">
        <v>1.42</v>
      </c>
    </row>
    <row r="70" spans="1:18" ht="16" hidden="1" x14ac:dyDescent="0.2">
      <c r="A70" s="3" t="s">
        <v>50</v>
      </c>
      <c r="B70" s="1">
        <v>1120226.5900000001</v>
      </c>
      <c r="C70" s="1">
        <v>93647.41</v>
      </c>
      <c r="D70" s="1">
        <v>25539.360000000001</v>
      </c>
      <c r="E70" s="1">
        <v>84098</v>
      </c>
      <c r="F70" s="6">
        <v>1.1135509762420035</v>
      </c>
      <c r="G70" t="s">
        <v>117</v>
      </c>
      <c r="H70" t="s">
        <v>132</v>
      </c>
      <c r="I70" t="s">
        <v>235</v>
      </c>
      <c r="J70" s="1">
        <v>13.320490261361746</v>
      </c>
      <c r="K70" s="1">
        <v>0</v>
      </c>
      <c r="L70" s="2">
        <v>0</v>
      </c>
      <c r="M70">
        <v>0.75</v>
      </c>
      <c r="N70">
        <v>0.84</v>
      </c>
      <c r="O70">
        <v>2.61</v>
      </c>
    </row>
    <row r="71" spans="1:18" ht="16" hidden="1" x14ac:dyDescent="0.2">
      <c r="A71" s="3" t="s">
        <v>23</v>
      </c>
      <c r="B71" s="1">
        <v>1115250.5900000001</v>
      </c>
      <c r="C71" s="1">
        <v>83689.56</v>
      </c>
      <c r="D71" s="1">
        <v>17805.09</v>
      </c>
      <c r="E71" s="1">
        <v>71671</v>
      </c>
      <c r="F71" s="6">
        <v>1.1676906977717627</v>
      </c>
      <c r="G71" t="s">
        <v>117</v>
      </c>
      <c r="H71" t="s">
        <v>131</v>
      </c>
      <c r="I71" t="s">
        <v>223</v>
      </c>
      <c r="J71" s="1">
        <v>15.560695260286588</v>
      </c>
      <c r="K71" s="1">
        <v>0</v>
      </c>
      <c r="L71" s="2">
        <v>0</v>
      </c>
      <c r="M71">
        <v>0.2</v>
      </c>
      <c r="N71">
        <v>1.89</v>
      </c>
      <c r="O71">
        <v>1.75</v>
      </c>
    </row>
    <row r="72" spans="1:18" ht="16" hidden="1" x14ac:dyDescent="0.2">
      <c r="A72" s="3" t="s">
        <v>224</v>
      </c>
      <c r="B72" s="1">
        <v>1038568.5700000001</v>
      </c>
      <c r="C72" s="1">
        <v>87798.27</v>
      </c>
      <c r="D72" s="1">
        <v>19655.34</v>
      </c>
      <c r="E72" s="1">
        <v>75487</v>
      </c>
      <c r="F72" s="6">
        <v>1.1630912607468835</v>
      </c>
      <c r="G72" t="s">
        <v>117</v>
      </c>
      <c r="H72" t="s">
        <v>122</v>
      </c>
      <c r="I72" t="s">
        <v>225</v>
      </c>
      <c r="J72" s="1">
        <v>13.75824406851511</v>
      </c>
      <c r="K72" s="1">
        <v>0</v>
      </c>
      <c r="L72" s="2">
        <v>0</v>
      </c>
      <c r="M72">
        <v>0.92</v>
      </c>
      <c r="N72">
        <v>0.83</v>
      </c>
      <c r="O72">
        <v>1.73</v>
      </c>
    </row>
    <row r="73" spans="1:18" ht="16" hidden="1" x14ac:dyDescent="0.2">
      <c r="A73" s="3" t="s">
        <v>220</v>
      </c>
      <c r="B73" s="1">
        <v>1027422.35</v>
      </c>
      <c r="C73" s="1">
        <v>90606.31</v>
      </c>
      <c r="D73" s="1">
        <v>12784.800000000001</v>
      </c>
      <c r="E73" s="1">
        <v>73931</v>
      </c>
      <c r="F73" s="6">
        <v>1.2255523393434418</v>
      </c>
      <c r="G73" t="s">
        <v>117</v>
      </c>
      <c r="H73" t="s">
        <v>123</v>
      </c>
      <c r="I73" t="s">
        <v>221</v>
      </c>
      <c r="J73" s="1">
        <v>13.897043865225683</v>
      </c>
      <c r="K73" s="1">
        <v>0</v>
      </c>
      <c r="L73" s="2">
        <v>0</v>
      </c>
      <c r="M73">
        <v>0.12</v>
      </c>
      <c r="N73">
        <v>0.81</v>
      </c>
      <c r="O73">
        <v>1.72</v>
      </c>
    </row>
    <row r="74" spans="1:18" ht="16" hidden="1" x14ac:dyDescent="0.2">
      <c r="A74" s="3" t="s">
        <v>218</v>
      </c>
      <c r="B74" s="1">
        <v>1019497.21</v>
      </c>
      <c r="C74" s="1">
        <v>76983.94</v>
      </c>
      <c r="D74" s="1">
        <v>17326.14</v>
      </c>
      <c r="E74" s="1">
        <v>62363</v>
      </c>
      <c r="F74" s="6">
        <v>1.2344489521030098</v>
      </c>
      <c r="G74" t="s">
        <v>117</v>
      </c>
      <c r="H74" t="s">
        <v>121</v>
      </c>
      <c r="I74" t="s">
        <v>219</v>
      </c>
      <c r="J74" s="1">
        <v>16.347789715055402</v>
      </c>
      <c r="K74" s="1">
        <v>0</v>
      </c>
      <c r="L74" s="2">
        <v>0</v>
      </c>
      <c r="M74">
        <v>0.81</v>
      </c>
      <c r="N74">
        <v>1.21</v>
      </c>
      <c r="O74">
        <v>1.59</v>
      </c>
    </row>
    <row r="75" spans="1:18" ht="16" hidden="1" x14ac:dyDescent="0.2">
      <c r="A75" s="3" t="s">
        <v>61</v>
      </c>
      <c r="B75" s="1">
        <v>985307.69000000006</v>
      </c>
      <c r="C75" s="1">
        <v>85202.51</v>
      </c>
      <c r="D75" s="1">
        <v>17723.2</v>
      </c>
      <c r="E75" s="1">
        <v>75345</v>
      </c>
      <c r="F75" s="6">
        <v>1.1308316411175259</v>
      </c>
      <c r="G75" t="s">
        <v>117</v>
      </c>
      <c r="H75" t="s">
        <v>131</v>
      </c>
      <c r="I75" t="s">
        <v>230</v>
      </c>
      <c r="J75" s="1">
        <v>13.077280376932777</v>
      </c>
      <c r="K75" s="1">
        <v>0</v>
      </c>
      <c r="L75" s="2">
        <v>0</v>
      </c>
      <c r="M75">
        <v>0.88</v>
      </c>
      <c r="N75">
        <v>0.87</v>
      </c>
      <c r="O75">
        <v>1.53</v>
      </c>
    </row>
    <row r="76" spans="1:18" ht="16" hidden="1" x14ac:dyDescent="0.2">
      <c r="A76" s="3" t="s">
        <v>216</v>
      </c>
      <c r="B76" s="1">
        <v>905694.84</v>
      </c>
      <c r="C76" s="1">
        <v>74187.72</v>
      </c>
      <c r="D76" s="1">
        <v>20052.830000000002</v>
      </c>
      <c r="E76" s="1">
        <v>60085</v>
      </c>
      <c r="F76" s="6">
        <v>1.2347128235000415</v>
      </c>
      <c r="G76" t="s">
        <v>117</v>
      </c>
      <c r="H76" t="s">
        <v>119</v>
      </c>
      <c r="I76" t="s">
        <v>217</v>
      </c>
      <c r="J76" s="1">
        <v>15.073559790297079</v>
      </c>
      <c r="K76" s="1">
        <v>0</v>
      </c>
      <c r="L76" s="2">
        <v>0</v>
      </c>
      <c r="M76">
        <v>0.11</v>
      </c>
      <c r="N76">
        <v>1.79</v>
      </c>
      <c r="O76">
        <v>1.71</v>
      </c>
    </row>
    <row r="77" spans="1:18" ht="16" hidden="1" x14ac:dyDescent="0.2">
      <c r="A77" s="3" t="s">
        <v>63</v>
      </c>
      <c r="B77" s="1">
        <v>875194.85</v>
      </c>
      <c r="C77" s="1">
        <v>58000.55</v>
      </c>
      <c r="D77" s="1">
        <v>14056.74</v>
      </c>
      <c r="E77" s="1">
        <v>48240</v>
      </c>
      <c r="F77" s="6">
        <v>1.2023331260364842</v>
      </c>
      <c r="G77" t="s">
        <v>117</v>
      </c>
      <c r="H77" t="s">
        <v>132</v>
      </c>
      <c r="I77" t="s">
        <v>222</v>
      </c>
      <c r="J77" s="1">
        <v>18.142513474295189</v>
      </c>
      <c r="K77" s="1">
        <v>0</v>
      </c>
      <c r="L77" s="2">
        <v>0</v>
      </c>
      <c r="M77">
        <v>0.89</v>
      </c>
      <c r="N77">
        <v>0.8</v>
      </c>
      <c r="O77" t="s">
        <v>544</v>
      </c>
    </row>
    <row r="78" spans="1:18" ht="16" hidden="1" x14ac:dyDescent="0.2">
      <c r="A78" s="3" t="s">
        <v>226</v>
      </c>
      <c r="B78" s="1">
        <v>836339.64</v>
      </c>
      <c r="C78" s="1">
        <v>55398.69</v>
      </c>
      <c r="D78" s="1">
        <v>19177.18</v>
      </c>
      <c r="E78" s="1">
        <v>47716</v>
      </c>
      <c r="F78" s="6">
        <v>1.1610086763349821</v>
      </c>
      <c r="G78" t="s">
        <v>117</v>
      </c>
      <c r="H78" t="s">
        <v>120</v>
      </c>
      <c r="I78" t="s">
        <v>227</v>
      </c>
      <c r="J78" s="1">
        <v>17.527446558806272</v>
      </c>
      <c r="K78" s="1">
        <v>0</v>
      </c>
      <c r="L78" s="2">
        <v>0</v>
      </c>
      <c r="M78">
        <v>0.62</v>
      </c>
      <c r="N78">
        <v>0.84</v>
      </c>
      <c r="O78">
        <v>0.87</v>
      </c>
    </row>
    <row r="79" spans="1:18" ht="16" hidden="1" x14ac:dyDescent="0.2">
      <c r="A79" s="3" t="s">
        <v>104</v>
      </c>
      <c r="B79" s="1">
        <v>2148753.5299999998</v>
      </c>
      <c r="C79" s="1">
        <v>123728.63</v>
      </c>
      <c r="D79" s="1">
        <v>47265.8</v>
      </c>
      <c r="E79" s="1">
        <v>135369</v>
      </c>
      <c r="F79" s="6">
        <v>0.91401007616219376</v>
      </c>
      <c r="G79" t="s">
        <v>117</v>
      </c>
      <c r="H79" t="s">
        <v>132</v>
      </c>
      <c r="I79" t="s">
        <v>185</v>
      </c>
      <c r="J79" s="1">
        <v>15.873305779018828</v>
      </c>
      <c r="K79" s="1">
        <v>-363.99693099999814</v>
      </c>
      <c r="L79" s="2">
        <v>2.9418973684586834E-3</v>
      </c>
      <c r="M79">
        <v>0.24</v>
      </c>
      <c r="N79">
        <v>3.01</v>
      </c>
      <c r="O79">
        <v>2.39</v>
      </c>
    </row>
    <row r="80" spans="1:18" ht="16" x14ac:dyDescent="0.2">
      <c r="A80" s="3" t="s">
        <v>67</v>
      </c>
      <c r="B80" s="1">
        <v>1230303.6000000001</v>
      </c>
      <c r="C80" s="1">
        <v>84138.18</v>
      </c>
      <c r="D80" s="1">
        <v>21050.560000000001</v>
      </c>
      <c r="E80" s="1">
        <v>76828</v>
      </c>
      <c r="F80" s="6">
        <v>1.0951499453324307</v>
      </c>
      <c r="G80" t="s">
        <v>117</v>
      </c>
      <c r="H80" t="s">
        <v>126</v>
      </c>
      <c r="I80" t="s">
        <v>237</v>
      </c>
      <c r="J80" s="1">
        <v>16.013739782371012</v>
      </c>
      <c r="K80" s="1">
        <v>-532.19175600001154</v>
      </c>
      <c r="L80" s="2">
        <v>6.3252111704818377E-3</v>
      </c>
      <c r="M80" s="7">
        <v>0.82</v>
      </c>
      <c r="N80" s="7">
        <v>1.68</v>
      </c>
      <c r="O80" s="7">
        <v>1.74</v>
      </c>
    </row>
    <row r="81" spans="1:15" ht="16" hidden="1" x14ac:dyDescent="0.2">
      <c r="A81" s="3" t="s">
        <v>60</v>
      </c>
      <c r="B81" s="1">
        <v>1116372.77</v>
      </c>
      <c r="C81" s="1">
        <v>82399.320000000007</v>
      </c>
      <c r="D81" s="1">
        <v>27481.41</v>
      </c>
      <c r="E81" s="1">
        <v>75622</v>
      </c>
      <c r="F81" s="6">
        <v>1.0896210097590648</v>
      </c>
      <c r="G81" t="s">
        <v>117</v>
      </c>
      <c r="H81" t="s">
        <v>121</v>
      </c>
      <c r="I81" t="s">
        <v>238</v>
      </c>
      <c r="J81" s="1">
        <v>14.762539604876888</v>
      </c>
      <c r="K81" s="1">
        <v>-941.94689399999663</v>
      </c>
      <c r="L81" s="2">
        <v>1.1431488682188112E-2</v>
      </c>
      <c r="M81">
        <v>0.98</v>
      </c>
      <c r="N81">
        <v>0.89</v>
      </c>
      <c r="O81">
        <v>1.86</v>
      </c>
    </row>
    <row r="82" spans="1:15" ht="16" x14ac:dyDescent="0.2">
      <c r="A82" s="3" t="s">
        <v>105</v>
      </c>
      <c r="B82" s="1">
        <v>1570904.76</v>
      </c>
      <c r="C82" s="1">
        <v>106195.04000000001</v>
      </c>
      <c r="D82" s="1">
        <v>26354.829999999998</v>
      </c>
      <c r="E82" s="1">
        <v>117459</v>
      </c>
      <c r="F82" s="6">
        <v>0.90410304872338443</v>
      </c>
      <c r="G82" t="s">
        <v>117</v>
      </c>
      <c r="H82" t="s">
        <v>128</v>
      </c>
      <c r="I82" t="s">
        <v>187</v>
      </c>
      <c r="J82" s="1">
        <v>13.374068909151278</v>
      </c>
      <c r="K82" s="1">
        <v>-1479.5078409999933</v>
      </c>
      <c r="L82" s="2">
        <v>1.3931986286741764E-2</v>
      </c>
      <c r="M82" s="7">
        <v>0.81</v>
      </c>
      <c r="N82" s="7">
        <v>2.66</v>
      </c>
      <c r="O82" s="7">
        <v>1.88</v>
      </c>
    </row>
    <row r="83" spans="1:15" ht="16" x14ac:dyDescent="0.2">
      <c r="A83" s="3" t="s">
        <v>106</v>
      </c>
      <c r="B83" s="1">
        <v>1556934</v>
      </c>
      <c r="C83" s="1">
        <v>91212.33</v>
      </c>
      <c r="D83" s="1">
        <v>32412.420000000002</v>
      </c>
      <c r="E83" s="1">
        <v>101242</v>
      </c>
      <c r="F83" s="6">
        <v>0.90093370340372569</v>
      </c>
      <c r="G83" t="s">
        <v>117</v>
      </c>
      <c r="H83" t="s">
        <v>129</v>
      </c>
      <c r="I83" t="s">
        <v>188</v>
      </c>
      <c r="J83" s="1">
        <v>15.37834100472136</v>
      </c>
      <c r="K83" s="1">
        <v>-1596.1101580000075</v>
      </c>
      <c r="L83" s="2">
        <v>1.7498842075408087E-2</v>
      </c>
      <c r="M83" s="7">
        <v>0.91</v>
      </c>
      <c r="N83" s="7">
        <v>1.68</v>
      </c>
      <c r="O83" s="7">
        <v>1.68</v>
      </c>
    </row>
    <row r="84" spans="1:15" ht="16" hidden="1" x14ac:dyDescent="0.2">
      <c r="A84" s="3" t="s">
        <v>41</v>
      </c>
      <c r="B84" s="1">
        <v>2247321.16</v>
      </c>
      <c r="C84" s="1">
        <v>126149.9</v>
      </c>
      <c r="D84" s="1">
        <v>33412.9</v>
      </c>
      <c r="E84" s="1">
        <v>139377</v>
      </c>
      <c r="F84" s="6">
        <v>0.90509840217539472</v>
      </c>
      <c r="G84" t="s">
        <v>117</v>
      </c>
      <c r="H84" t="s">
        <v>128</v>
      </c>
      <c r="I84" t="s">
        <v>186</v>
      </c>
      <c r="J84" s="1">
        <v>16.124046004721009</v>
      </c>
      <c r="K84" s="1">
        <v>-1616.8565230000156</v>
      </c>
      <c r="L84" s="2">
        <v>1.2816946529486077E-2</v>
      </c>
      <c r="M84">
        <v>0.86</v>
      </c>
      <c r="N84">
        <v>2.97</v>
      </c>
      <c r="O84">
        <v>3.25</v>
      </c>
    </row>
    <row r="85" spans="1:15" ht="16" hidden="1" x14ac:dyDescent="0.2">
      <c r="A85" s="3" t="s">
        <v>107</v>
      </c>
      <c r="B85" s="1">
        <v>1600858.13</v>
      </c>
      <c r="C85" s="1">
        <v>104748.63</v>
      </c>
      <c r="D85" s="1">
        <v>26467.17</v>
      </c>
      <c r="E85" s="1">
        <v>116283</v>
      </c>
      <c r="F85" s="6">
        <v>0.90080777069735052</v>
      </c>
      <c r="G85" t="s">
        <v>117</v>
      </c>
      <c r="H85" t="s">
        <v>130</v>
      </c>
      <c r="I85" t="s">
        <v>189</v>
      </c>
      <c r="J85" s="1">
        <v>13.766914596286645</v>
      </c>
      <c r="K85" s="1">
        <v>-1847.8798169999945</v>
      </c>
      <c r="L85" s="2">
        <v>1.7641088165067119E-2</v>
      </c>
      <c r="M85">
        <v>0.84</v>
      </c>
      <c r="N85">
        <v>1.83</v>
      </c>
      <c r="O85">
        <v>1.1200000000000001</v>
      </c>
    </row>
    <row r="86" spans="1:15" ht="16" hidden="1" x14ac:dyDescent="0.2">
      <c r="A86" s="3" t="s">
        <v>108</v>
      </c>
      <c r="B86" s="1">
        <v>1931775.48</v>
      </c>
      <c r="C86" s="1">
        <v>115313.45</v>
      </c>
      <c r="D86" s="1">
        <v>30462.85</v>
      </c>
      <c r="E86" s="1">
        <v>128303</v>
      </c>
      <c r="F86" s="6">
        <v>0.89875879753396259</v>
      </c>
      <c r="G86" t="s">
        <v>117</v>
      </c>
      <c r="H86" t="s">
        <v>125</v>
      </c>
      <c r="I86" t="s">
        <v>190</v>
      </c>
      <c r="J86" s="1">
        <v>15.056354722804612</v>
      </c>
      <c r="K86" s="1">
        <v>-2301.7817970000024</v>
      </c>
      <c r="L86" s="2">
        <v>1.9961086907034718E-2</v>
      </c>
      <c r="M86">
        <v>0.82</v>
      </c>
      <c r="N86">
        <v>1.55</v>
      </c>
      <c r="O86">
        <v>2.44</v>
      </c>
    </row>
    <row r="87" spans="1:15" ht="16" hidden="1" x14ac:dyDescent="0.2">
      <c r="A87" s="3" t="s">
        <v>59</v>
      </c>
      <c r="B87" s="1">
        <v>2275797.1</v>
      </c>
      <c r="C87" s="1">
        <v>127952.19</v>
      </c>
      <c r="D87" s="1">
        <v>44985.279999999999</v>
      </c>
      <c r="E87" s="1">
        <v>142402</v>
      </c>
      <c r="F87" s="6">
        <v>0.89852804033651212</v>
      </c>
      <c r="G87" t="s">
        <v>117</v>
      </c>
      <c r="H87" t="s">
        <v>132</v>
      </c>
      <c r="I87" t="s">
        <v>191</v>
      </c>
      <c r="J87" s="1">
        <v>15.981496748641172</v>
      </c>
      <c r="K87" s="1">
        <v>-2587.5809980000063</v>
      </c>
      <c r="L87" s="2">
        <v>2.0223030164626381E-2</v>
      </c>
      <c r="M87">
        <v>0.94</v>
      </c>
      <c r="N87">
        <v>2.62</v>
      </c>
      <c r="O87">
        <v>2.41</v>
      </c>
    </row>
    <row r="88" spans="1:15" ht="16" hidden="1" x14ac:dyDescent="0.2">
      <c r="A88" s="3" t="s">
        <v>109</v>
      </c>
      <c r="B88" s="1">
        <v>2614515.11</v>
      </c>
      <c r="C88" s="1">
        <v>139653.01999999999</v>
      </c>
      <c r="D88" s="1">
        <v>42553.279999999999</v>
      </c>
      <c r="E88" s="1">
        <v>155649</v>
      </c>
      <c r="F88" s="6">
        <v>0.89723043514574452</v>
      </c>
      <c r="G88" t="s">
        <v>117</v>
      </c>
      <c r="H88" t="s">
        <v>121</v>
      </c>
      <c r="I88" t="s">
        <v>192</v>
      </c>
      <c r="J88" s="1">
        <v>16.797506633515152</v>
      </c>
      <c r="K88" s="1">
        <v>-3030.2626510000177</v>
      </c>
      <c r="L88" s="2">
        <v>2.1698511432119535E-2</v>
      </c>
      <c r="M88">
        <v>0.74</v>
      </c>
      <c r="N88">
        <v>2.9</v>
      </c>
      <c r="O88">
        <v>3.29</v>
      </c>
    </row>
    <row r="89" spans="1:15" ht="16" hidden="1" x14ac:dyDescent="0.2">
      <c r="A89" s="3" t="s">
        <v>110</v>
      </c>
      <c r="B89" s="1">
        <v>2342660.8199999998</v>
      </c>
      <c r="C89" s="1">
        <v>127639.3</v>
      </c>
      <c r="D89" s="1">
        <v>50915.9</v>
      </c>
      <c r="E89" s="1">
        <v>142653</v>
      </c>
      <c r="F89" s="6">
        <v>0.89475370304164659</v>
      </c>
      <c r="G89" t="s">
        <v>117</v>
      </c>
      <c r="H89" t="s">
        <v>122</v>
      </c>
      <c r="I89" t="s">
        <v>193</v>
      </c>
      <c r="J89" s="1">
        <v>16.422092910769489</v>
      </c>
      <c r="K89" s="1">
        <v>-3130.5624469999952</v>
      </c>
      <c r="L89" s="2">
        <v>2.452663440648762E-2</v>
      </c>
      <c r="M89">
        <v>0.92</v>
      </c>
      <c r="N89">
        <v>2.97</v>
      </c>
      <c r="O89">
        <v>1.99</v>
      </c>
    </row>
    <row r="90" spans="1:15" ht="16" x14ac:dyDescent="0.2">
      <c r="A90" s="3" t="s">
        <v>239</v>
      </c>
      <c r="B90" s="1">
        <v>1244627.75</v>
      </c>
      <c r="C90" s="1">
        <v>97506.1</v>
      </c>
      <c r="D90" s="1">
        <v>28711.57</v>
      </c>
      <c r="E90" s="1">
        <v>92898</v>
      </c>
      <c r="F90" s="6">
        <v>1.0496038666063856</v>
      </c>
      <c r="G90" t="s">
        <v>117</v>
      </c>
      <c r="H90" t="s">
        <v>130</v>
      </c>
      <c r="I90" t="s">
        <v>240</v>
      </c>
      <c r="J90" s="1">
        <v>13.397788434627225</v>
      </c>
      <c r="K90" s="1">
        <v>-4874.6491459999879</v>
      </c>
      <c r="L90" s="2">
        <v>4.999327371313167E-2</v>
      </c>
      <c r="M90" s="7">
        <v>0.85</v>
      </c>
      <c r="N90" s="7">
        <v>1.8</v>
      </c>
      <c r="O90" s="7">
        <v>2.4900000000000002</v>
      </c>
    </row>
    <row r="91" spans="1:15" ht="16" hidden="1" x14ac:dyDescent="0.2">
      <c r="A91" s="3" t="s">
        <v>241</v>
      </c>
      <c r="B91" s="1">
        <v>1076300.49</v>
      </c>
      <c r="C91" s="1">
        <v>87223.61</v>
      </c>
      <c r="D91" s="1">
        <v>13397.91</v>
      </c>
      <c r="E91" s="1">
        <v>84596</v>
      </c>
      <c r="F91" s="6">
        <v>1.0310606884486264</v>
      </c>
      <c r="G91" t="s">
        <v>117</v>
      </c>
      <c r="H91" t="s">
        <v>119</v>
      </c>
      <c r="I91" t="s">
        <v>242</v>
      </c>
      <c r="J91" s="1">
        <v>12.722829566409759</v>
      </c>
      <c r="K91" s="1">
        <v>-6007.695891999997</v>
      </c>
      <c r="L91" s="2">
        <v>6.8876946184639645E-2</v>
      </c>
      <c r="M91">
        <v>0.86</v>
      </c>
      <c r="N91" t="s">
        <v>544</v>
      </c>
      <c r="O91">
        <v>2.64</v>
      </c>
    </row>
    <row r="92" spans="1:15" ht="16" x14ac:dyDescent="0.2">
      <c r="A92" s="3" t="s">
        <v>111</v>
      </c>
      <c r="B92" s="1">
        <v>1493678.38</v>
      </c>
      <c r="C92" s="1">
        <v>87449.279999999999</v>
      </c>
      <c r="D92" s="1">
        <v>26488.510000000002</v>
      </c>
      <c r="E92" s="1">
        <v>102888</v>
      </c>
      <c r="F92" s="6">
        <v>0.84994634942850478</v>
      </c>
      <c r="G92" t="s">
        <v>117</v>
      </c>
      <c r="H92" t="s">
        <v>131</v>
      </c>
      <c r="I92" t="s">
        <v>197</v>
      </c>
      <c r="J92" s="1">
        <v>14.51751788352383</v>
      </c>
      <c r="K92" s="1">
        <v>-6868.0467120000048</v>
      </c>
      <c r="L92" s="2">
        <v>7.8537487238316939E-2</v>
      </c>
      <c r="M92" s="7">
        <v>0.87</v>
      </c>
      <c r="N92" s="7">
        <v>1.68</v>
      </c>
      <c r="O92" s="7">
        <v>1.8</v>
      </c>
    </row>
    <row r="93" spans="1:15" ht="16" hidden="1" x14ac:dyDescent="0.2">
      <c r="A93" s="3" t="s">
        <v>21</v>
      </c>
      <c r="B93" s="1">
        <v>1986298.47</v>
      </c>
      <c r="C93" s="1">
        <v>109876.76</v>
      </c>
      <c r="D93" s="1">
        <v>30328.57</v>
      </c>
      <c r="E93" s="1">
        <v>128266</v>
      </c>
      <c r="F93" s="6">
        <v>0.85663199912681454</v>
      </c>
      <c r="G93" t="s">
        <v>117</v>
      </c>
      <c r="H93" t="s">
        <v>128</v>
      </c>
      <c r="I93" t="s">
        <v>195</v>
      </c>
      <c r="J93" s="1">
        <v>15.485775419830665</v>
      </c>
      <c r="K93" s="1">
        <v>-7704.5539340000123</v>
      </c>
      <c r="L93" s="2">
        <v>7.0119959252529951E-2</v>
      </c>
      <c r="M93">
        <v>0.82</v>
      </c>
      <c r="N93">
        <v>2.5499999999999998</v>
      </c>
      <c r="O93">
        <v>1.51</v>
      </c>
    </row>
    <row r="94" spans="1:15" ht="16" hidden="1" x14ac:dyDescent="0.2">
      <c r="A94" s="3" t="s">
        <v>245</v>
      </c>
      <c r="B94" s="1">
        <v>1111456.1400000001</v>
      </c>
      <c r="C94" s="1">
        <v>79166.67</v>
      </c>
      <c r="D94" s="1">
        <v>19851.71</v>
      </c>
      <c r="E94" s="1">
        <v>79276</v>
      </c>
      <c r="F94" s="6">
        <v>0.99862089409152832</v>
      </c>
      <c r="G94" t="s">
        <v>117</v>
      </c>
      <c r="H94" t="s">
        <v>132</v>
      </c>
      <c r="I94" t="s">
        <v>246</v>
      </c>
      <c r="J94" s="1">
        <v>14.020083505726829</v>
      </c>
      <c r="K94" s="1">
        <v>-8201.5862519999991</v>
      </c>
      <c r="L94" s="2">
        <v>0.10359897987372715</v>
      </c>
      <c r="M94">
        <v>0.88</v>
      </c>
      <c r="N94">
        <v>0.22</v>
      </c>
      <c r="O94">
        <v>1.63</v>
      </c>
    </row>
    <row r="95" spans="1:15" ht="16" hidden="1" x14ac:dyDescent="0.2">
      <c r="A95" s="3" t="s">
        <v>28</v>
      </c>
      <c r="B95" s="1">
        <v>2572014.98</v>
      </c>
      <c r="C95" s="1">
        <v>131546.51</v>
      </c>
      <c r="D95" s="1">
        <v>45377.42</v>
      </c>
      <c r="E95" s="1">
        <v>152541</v>
      </c>
      <c r="F95" s="6">
        <v>0.86236821575838629</v>
      </c>
      <c r="G95" t="s">
        <v>117</v>
      </c>
      <c r="H95" t="s">
        <v>126</v>
      </c>
      <c r="I95" t="s">
        <v>194</v>
      </c>
      <c r="J95" s="1">
        <v>16.861138841360685</v>
      </c>
      <c r="K95" s="1">
        <v>-8287.6721590000034</v>
      </c>
      <c r="L95" s="2">
        <v>6.3001839873973106E-2</v>
      </c>
      <c r="M95">
        <v>0.91</v>
      </c>
      <c r="N95">
        <v>3.53</v>
      </c>
      <c r="O95">
        <v>2.63</v>
      </c>
    </row>
    <row r="96" spans="1:15" ht="16" hidden="1" x14ac:dyDescent="0.2">
      <c r="A96" s="3" t="s">
        <v>243</v>
      </c>
      <c r="B96" s="1">
        <v>1172255.6000000001</v>
      </c>
      <c r="C96" s="1">
        <v>84807.6</v>
      </c>
      <c r="D96" s="1">
        <v>17725.21</v>
      </c>
      <c r="E96" s="1">
        <v>84904</v>
      </c>
      <c r="F96" s="6">
        <v>0.99886460001884492</v>
      </c>
      <c r="G96" t="s">
        <v>116</v>
      </c>
      <c r="H96" t="s">
        <v>130</v>
      </c>
      <c r="I96" t="s">
        <v>244</v>
      </c>
      <c r="J96" s="1">
        <v>13.806835955903139</v>
      </c>
      <c r="K96" s="1">
        <v>-8763.1456079999898</v>
      </c>
      <c r="L96" s="2">
        <v>0.10332972054391339</v>
      </c>
      <c r="M96">
        <v>0.87</v>
      </c>
      <c r="N96">
        <v>1.08</v>
      </c>
      <c r="O96">
        <v>1.76</v>
      </c>
    </row>
    <row r="97" spans="1:15" ht="16" hidden="1" x14ac:dyDescent="0.2">
      <c r="A97" s="3" t="s">
        <v>65</v>
      </c>
      <c r="B97" s="1">
        <v>2247429.14</v>
      </c>
      <c r="C97" s="1">
        <v>136599.97</v>
      </c>
      <c r="D97" s="1">
        <v>39996.58</v>
      </c>
      <c r="E97" s="1">
        <v>159593</v>
      </c>
      <c r="F97" s="6">
        <v>0.85592707700212411</v>
      </c>
      <c r="G97" t="s">
        <v>117</v>
      </c>
      <c r="H97" t="s">
        <v>131</v>
      </c>
      <c r="I97" t="s">
        <v>196</v>
      </c>
      <c r="J97" s="1">
        <v>14.08225385825193</v>
      </c>
      <c r="K97" s="1">
        <v>-9698.7735070000126</v>
      </c>
      <c r="L97" s="2">
        <v>7.1001285776270753E-2</v>
      </c>
      <c r="M97">
        <v>0.86</v>
      </c>
      <c r="N97">
        <v>3.55</v>
      </c>
      <c r="O97">
        <v>3.31</v>
      </c>
    </row>
    <row r="98" spans="1:15" ht="16" x14ac:dyDescent="0.2">
      <c r="A98" s="3" t="s">
        <v>112</v>
      </c>
      <c r="B98" s="1">
        <v>1486094.75</v>
      </c>
      <c r="C98" s="1">
        <v>86133.28</v>
      </c>
      <c r="D98" s="1">
        <v>27087.040000000001</v>
      </c>
      <c r="E98" s="1">
        <v>106467</v>
      </c>
      <c r="F98" s="6">
        <v>0.80901387284322845</v>
      </c>
      <c r="G98" t="s">
        <v>117</v>
      </c>
      <c r="H98" t="s">
        <v>132</v>
      </c>
      <c r="I98" t="s">
        <v>199</v>
      </c>
      <c r="J98" s="1">
        <v>13.958266411188443</v>
      </c>
      <c r="K98" s="1">
        <v>-11464.912433000001</v>
      </c>
      <c r="L98" s="2">
        <v>0.13310665091356094</v>
      </c>
      <c r="M98" s="7">
        <v>0.93</v>
      </c>
      <c r="N98" s="7">
        <v>0.82</v>
      </c>
      <c r="O98" s="7">
        <v>1.83</v>
      </c>
    </row>
    <row r="99" spans="1:15" ht="16" hidden="1" x14ac:dyDescent="0.2">
      <c r="A99" s="3" t="s">
        <v>53</v>
      </c>
      <c r="B99" s="1">
        <v>1674055.72</v>
      </c>
      <c r="C99" s="1">
        <v>99569.29</v>
      </c>
      <c r="D99" s="1">
        <v>27900.880000000001</v>
      </c>
      <c r="E99" s="1">
        <v>121395</v>
      </c>
      <c r="F99" s="6">
        <v>0.8202091519420075</v>
      </c>
      <c r="G99" t="s">
        <v>117</v>
      </c>
      <c r="H99" t="s">
        <v>132</v>
      </c>
      <c r="I99" t="s">
        <v>198</v>
      </c>
      <c r="J99" s="1">
        <v>13.790153795461098</v>
      </c>
      <c r="K99" s="1">
        <v>-11713.385105000005</v>
      </c>
      <c r="L99" s="2">
        <v>0.11764054062251529</v>
      </c>
      <c r="M99">
        <v>0.84</v>
      </c>
      <c r="N99">
        <v>1.17</v>
      </c>
      <c r="O99">
        <v>2.09</v>
      </c>
    </row>
    <row r="100" spans="1:15" ht="16" x14ac:dyDescent="0.2">
      <c r="A100" s="3" t="s">
        <v>114</v>
      </c>
      <c r="B100" s="1">
        <v>1514783</v>
      </c>
      <c r="C100" s="1">
        <v>95565.39</v>
      </c>
      <c r="D100" s="1">
        <v>28253.96</v>
      </c>
      <c r="E100" s="1">
        <v>120111</v>
      </c>
      <c r="F100" s="6">
        <v>0.79564228089017663</v>
      </c>
      <c r="G100" t="s">
        <v>117</v>
      </c>
      <c r="H100" t="s">
        <v>126</v>
      </c>
      <c r="I100" t="s">
        <v>201</v>
      </c>
      <c r="J100" s="1">
        <v>12.611526005111939</v>
      </c>
      <c r="K100" s="1">
        <v>-14540.243589</v>
      </c>
      <c r="L100" s="2">
        <v>0.15214968085203232</v>
      </c>
      <c r="M100" s="7">
        <v>0.9</v>
      </c>
      <c r="N100" s="7">
        <v>1.65</v>
      </c>
      <c r="O100" s="7">
        <v>2.5299999999999998</v>
      </c>
    </row>
    <row r="101" spans="1:15" ht="16" hidden="1" x14ac:dyDescent="0.2">
      <c r="A101" s="3" t="s">
        <v>113</v>
      </c>
      <c r="B101" s="1">
        <v>1970221.1400000001</v>
      </c>
      <c r="C101" s="1">
        <v>100617.92</v>
      </c>
      <c r="D101" s="1">
        <v>29807.71</v>
      </c>
      <c r="E101" s="1">
        <v>125934</v>
      </c>
      <c r="F101" s="6">
        <v>0.79897343052710146</v>
      </c>
      <c r="G101" t="s">
        <v>117</v>
      </c>
      <c r="H101" t="s">
        <v>118</v>
      </c>
      <c r="I101" t="s">
        <v>200</v>
      </c>
      <c r="J101" s="1">
        <v>15.644870646529135</v>
      </c>
      <c r="K101" s="1">
        <v>-14825.651866000011</v>
      </c>
      <c r="L101" s="2">
        <v>0.14734603802185547</v>
      </c>
      <c r="M101">
        <v>0.87</v>
      </c>
      <c r="N101">
        <v>1.97</v>
      </c>
      <c r="O101">
        <v>1.61</v>
      </c>
    </row>
    <row r="102" spans="1:15" ht="16" x14ac:dyDescent="0.2">
      <c r="A102" s="3" t="s">
        <v>115</v>
      </c>
      <c r="B102" s="1">
        <v>1531248.54</v>
      </c>
      <c r="C102" s="1">
        <v>82369.429999999993</v>
      </c>
      <c r="D102" s="1">
        <v>28275.96</v>
      </c>
      <c r="E102" s="1">
        <v>107758</v>
      </c>
      <c r="F102" s="6">
        <v>0.76439271330202851</v>
      </c>
      <c r="G102" t="s">
        <v>117</v>
      </c>
      <c r="H102" t="s">
        <v>129</v>
      </c>
      <c r="I102" t="s">
        <v>202</v>
      </c>
      <c r="J102" s="1">
        <v>14.210068301193415</v>
      </c>
      <c r="K102" s="1">
        <v>-16412.220842000017</v>
      </c>
      <c r="L102" s="2">
        <v>0.19925135868974714</v>
      </c>
      <c r="M102" s="7">
        <v>0.88</v>
      </c>
      <c r="N102" s="7">
        <v>1.79</v>
      </c>
      <c r="O102" s="7">
        <v>1.69</v>
      </c>
    </row>
    <row r="103" spans="1:15" ht="16" x14ac:dyDescent="0.2">
      <c r="A103" s="3" t="s">
        <v>247</v>
      </c>
      <c r="B103" s="1">
        <v>1234302.8999999999</v>
      </c>
      <c r="C103" s="1">
        <v>83146.929999999993</v>
      </c>
      <c r="D103" s="1">
        <v>24750.97</v>
      </c>
      <c r="E103" s="1">
        <v>97737</v>
      </c>
      <c r="F103" s="6">
        <v>0.8507211189211864</v>
      </c>
      <c r="G103" t="s">
        <v>117</v>
      </c>
      <c r="H103" t="s">
        <v>129</v>
      </c>
      <c r="I103" t="s">
        <v>248</v>
      </c>
      <c r="J103" s="1">
        <v>12.628819177998096</v>
      </c>
      <c r="K103" s="1">
        <v>-24566.769749000003</v>
      </c>
      <c r="L103" s="2">
        <v>0.29546213851792247</v>
      </c>
      <c r="M103" s="7">
        <v>0.61</v>
      </c>
      <c r="N103" s="7">
        <v>1.85</v>
      </c>
      <c r="O103" s="7">
        <v>2.69</v>
      </c>
    </row>
    <row r="104" spans="1:15" hidden="1" x14ac:dyDescent="0.2"/>
    <row r="105" spans="1:15" ht="19" hidden="1" x14ac:dyDescent="0.25">
      <c r="A105" s="4" t="s">
        <v>539</v>
      </c>
    </row>
    <row r="107" spans="1:15" x14ac:dyDescent="0.2">
      <c r="A107" s="3" t="s">
        <v>0</v>
      </c>
      <c r="B107" s="3" t="s">
        <v>1</v>
      </c>
      <c r="C107" s="3" t="s">
        <v>2</v>
      </c>
      <c r="D107" s="3" t="s">
        <v>3</v>
      </c>
      <c r="E107" s="3" t="s">
        <v>4</v>
      </c>
      <c r="F107" s="3" t="s">
        <v>5</v>
      </c>
      <c r="G107" t="s">
        <v>6</v>
      </c>
      <c r="H107" t="s">
        <v>7</v>
      </c>
      <c r="I107" t="s">
        <v>8</v>
      </c>
      <c r="J107" s="3" t="s">
        <v>9</v>
      </c>
      <c r="K107" t="s">
        <v>10</v>
      </c>
      <c r="L107" t="s">
        <v>11</v>
      </c>
      <c r="M107" s="7"/>
      <c r="N107" s="7"/>
      <c r="O107" s="7"/>
    </row>
    <row r="108" spans="1:15" ht="16" x14ac:dyDescent="0.2">
      <c r="A108" t="s">
        <v>249</v>
      </c>
      <c r="B108" s="1">
        <v>2936957.55</v>
      </c>
      <c r="C108" s="1">
        <v>64762.81</v>
      </c>
      <c r="D108" s="1">
        <v>16677.579999999998</v>
      </c>
      <c r="E108" s="1">
        <v>25229</v>
      </c>
      <c r="F108" s="6">
        <v>2.5669986919814498</v>
      </c>
      <c r="G108" t="s">
        <v>250</v>
      </c>
      <c r="H108" t="s">
        <v>122</v>
      </c>
      <c r="I108" t="s">
        <v>251</v>
      </c>
      <c r="J108" s="1">
        <v>116.41196836973323</v>
      </c>
      <c r="K108" s="1">
        <v>24552.325219999995</v>
      </c>
      <c r="L108" s="2">
        <v>0.37911148728722543</v>
      </c>
      <c r="M108">
        <v>0.79</v>
      </c>
      <c r="N108">
        <v>0.91</v>
      </c>
      <c r="O108">
        <v>1.74</v>
      </c>
    </row>
    <row r="109" spans="1:15" ht="16" x14ac:dyDescent="0.2">
      <c r="A109" t="s">
        <v>252</v>
      </c>
      <c r="B109" s="1">
        <v>1182587.02</v>
      </c>
      <c r="C109" s="1">
        <v>72999.88</v>
      </c>
      <c r="D109" s="1">
        <v>9792.14</v>
      </c>
      <c r="E109" s="1">
        <v>33042</v>
      </c>
      <c r="F109" s="6">
        <v>2.2093057320985414</v>
      </c>
      <c r="G109" t="s">
        <v>250</v>
      </c>
      <c r="H109" t="s">
        <v>121</v>
      </c>
      <c r="I109" t="s">
        <v>253</v>
      </c>
      <c r="J109" s="1">
        <v>35.790418860843772</v>
      </c>
      <c r="K109" s="1">
        <v>20336.879560000005</v>
      </c>
      <c r="L109" s="2">
        <v>0.27858784918550555</v>
      </c>
      <c r="M109">
        <v>0.8</v>
      </c>
      <c r="N109">
        <v>1.87</v>
      </c>
      <c r="O109" t="s">
        <v>544</v>
      </c>
    </row>
    <row r="110" spans="1:15" ht="16" x14ac:dyDescent="0.2">
      <c r="A110" t="s">
        <v>256</v>
      </c>
      <c r="B110" s="1">
        <v>2266336.2800000003</v>
      </c>
      <c r="C110" s="1">
        <v>114399.3</v>
      </c>
      <c r="D110" s="1">
        <v>14465.49</v>
      </c>
      <c r="E110" s="1">
        <v>60315</v>
      </c>
      <c r="F110" s="6">
        <v>1.8966973389704054</v>
      </c>
      <c r="G110" t="s">
        <v>250</v>
      </c>
      <c r="H110" t="s">
        <v>119</v>
      </c>
      <c r="I110" t="s">
        <v>257</v>
      </c>
      <c r="J110" s="1">
        <v>37.575002569841672</v>
      </c>
      <c r="K110" s="1">
        <v>18268.046699999999</v>
      </c>
      <c r="L110" s="2">
        <v>0.1596867000060315</v>
      </c>
      <c r="M110">
        <v>0.72</v>
      </c>
      <c r="N110">
        <v>3.44</v>
      </c>
      <c r="O110">
        <v>1.58</v>
      </c>
    </row>
    <row r="111" spans="1:15" ht="16" x14ac:dyDescent="0.2">
      <c r="A111" t="s">
        <v>310</v>
      </c>
      <c r="B111" s="1">
        <v>1092045.8</v>
      </c>
      <c r="C111" s="1">
        <v>72194.27</v>
      </c>
      <c r="D111" s="1">
        <v>18445.830000000002</v>
      </c>
      <c r="E111" s="1">
        <v>33200</v>
      </c>
      <c r="F111" s="6">
        <v>2.1745262048192773</v>
      </c>
      <c r="G111" t="s">
        <v>250</v>
      </c>
      <c r="H111" t="s">
        <v>121</v>
      </c>
      <c r="I111" t="s">
        <v>311</v>
      </c>
      <c r="J111" s="1">
        <v>32.892945783132532</v>
      </c>
      <c r="K111" s="1">
        <v>12249.014000000006</v>
      </c>
      <c r="L111" s="2">
        <v>0.16966739881156781</v>
      </c>
      <c r="M111">
        <v>0.87</v>
      </c>
      <c r="N111">
        <v>1.35</v>
      </c>
      <c r="O111">
        <v>0.59</v>
      </c>
    </row>
    <row r="112" spans="1:15" ht="16" x14ac:dyDescent="0.2">
      <c r="A112" t="s">
        <v>254</v>
      </c>
      <c r="B112" s="1">
        <v>1310210.55</v>
      </c>
      <c r="C112" s="1">
        <v>66371.95</v>
      </c>
      <c r="D112" s="1">
        <v>14316.4</v>
      </c>
      <c r="E112" s="1">
        <v>34700</v>
      </c>
      <c r="F112" s="6">
        <v>1.9127363112391931</v>
      </c>
      <c r="G112" t="s">
        <v>250</v>
      </c>
      <c r="H112" t="s">
        <v>206</v>
      </c>
      <c r="I112" t="s">
        <v>255</v>
      </c>
      <c r="J112" s="1">
        <v>37.758229106628242</v>
      </c>
      <c r="K112" s="1">
        <v>11066.395999999999</v>
      </c>
      <c r="L112" s="2">
        <v>0.16673302502035875</v>
      </c>
      <c r="M112">
        <v>0.85</v>
      </c>
      <c r="N112">
        <v>0.24</v>
      </c>
      <c r="O112">
        <v>3.17</v>
      </c>
    </row>
    <row r="113" spans="1:15" ht="16" x14ac:dyDescent="0.2">
      <c r="A113" t="s">
        <v>312</v>
      </c>
      <c r="B113" s="1">
        <v>768548.72</v>
      </c>
      <c r="C113" s="1">
        <v>66338.02</v>
      </c>
      <c r="D113" s="1">
        <v>14095.68</v>
      </c>
      <c r="E113" s="1">
        <v>30780</v>
      </c>
      <c r="F113" s="6">
        <v>2.1552313190383368</v>
      </c>
      <c r="G113" t="s">
        <v>250</v>
      </c>
      <c r="H113" t="s">
        <v>121</v>
      </c>
      <c r="I113" t="s">
        <v>313</v>
      </c>
      <c r="J113" s="1">
        <v>24.96909421702404</v>
      </c>
      <c r="K113" s="1">
        <v>10762.267600000006</v>
      </c>
      <c r="L113" s="2">
        <v>0.16223377785469034</v>
      </c>
      <c r="M113">
        <v>0.74</v>
      </c>
      <c r="N113">
        <v>0.85</v>
      </c>
      <c r="O113">
        <v>1.65</v>
      </c>
    </row>
    <row r="114" spans="1:15" ht="16" x14ac:dyDescent="0.2">
      <c r="A114" t="s">
        <v>259</v>
      </c>
      <c r="B114" s="1">
        <v>1269204.02</v>
      </c>
      <c r="C114" s="1">
        <v>89863.4</v>
      </c>
      <c r="D114" s="1">
        <v>20275.02</v>
      </c>
      <c r="E114" s="1">
        <v>51181</v>
      </c>
      <c r="F114" s="6">
        <v>1.7557960962075769</v>
      </c>
      <c r="G114" t="s">
        <v>250</v>
      </c>
      <c r="H114" t="s">
        <v>124</v>
      </c>
      <c r="I114" t="s">
        <v>260</v>
      </c>
      <c r="J114" s="1">
        <v>24.798343525917822</v>
      </c>
      <c r="K114" s="1">
        <v>8290.0985799999944</v>
      </c>
      <c r="L114" s="2">
        <v>9.2252224821228607E-2</v>
      </c>
      <c r="M114">
        <v>0.91</v>
      </c>
      <c r="N114">
        <v>1.69</v>
      </c>
      <c r="O114">
        <v>1.62</v>
      </c>
    </row>
    <row r="115" spans="1:15" ht="16" x14ac:dyDescent="0.2">
      <c r="A115" t="s">
        <v>27</v>
      </c>
      <c r="B115" s="1">
        <v>3139745.35</v>
      </c>
      <c r="C115" s="1">
        <v>76747.070000000007</v>
      </c>
      <c r="D115" s="1">
        <v>22495.77</v>
      </c>
      <c r="E115" s="1">
        <v>43228</v>
      </c>
      <c r="F115" s="6">
        <v>1.7754018228925699</v>
      </c>
      <c r="G115" t="s">
        <v>250</v>
      </c>
      <c r="H115" t="s">
        <v>123</v>
      </c>
      <c r="I115" t="s">
        <v>258</v>
      </c>
      <c r="J115" s="1">
        <v>72.632214074211163</v>
      </c>
      <c r="K115" s="1">
        <v>7849.4190400000098</v>
      </c>
      <c r="L115" s="2">
        <v>0.10227646527743676</v>
      </c>
      <c r="M115">
        <v>0.9</v>
      </c>
      <c r="N115">
        <v>1.6</v>
      </c>
      <c r="O115">
        <v>3.09</v>
      </c>
    </row>
    <row r="116" spans="1:15" ht="16" x14ac:dyDescent="0.2">
      <c r="A116" t="s">
        <v>52</v>
      </c>
      <c r="B116" s="1">
        <v>826292.73</v>
      </c>
      <c r="C116" s="1">
        <v>49662.04</v>
      </c>
      <c r="D116" s="1">
        <v>10977.67</v>
      </c>
      <c r="E116" s="1">
        <v>24891</v>
      </c>
      <c r="F116" s="6">
        <v>1.9951805873608934</v>
      </c>
      <c r="G116" t="s">
        <v>250</v>
      </c>
      <c r="H116" t="s">
        <v>128</v>
      </c>
      <c r="I116" t="s">
        <v>314</v>
      </c>
      <c r="J116" s="1">
        <v>33.196445703266242</v>
      </c>
      <c r="K116" s="1">
        <v>4719.3482199999989</v>
      </c>
      <c r="L116" s="2">
        <v>9.5029286352312531E-2</v>
      </c>
      <c r="M116">
        <v>0.1</v>
      </c>
      <c r="N116">
        <v>2.58</v>
      </c>
      <c r="O116" t="s">
        <v>544</v>
      </c>
    </row>
    <row r="117" spans="1:15" ht="16" x14ac:dyDescent="0.2">
      <c r="A117" t="s">
        <v>315</v>
      </c>
      <c r="B117" s="1">
        <v>911479.69</v>
      </c>
      <c r="C117" s="1">
        <v>73619.48</v>
      </c>
      <c r="D117" s="1">
        <v>12765.16</v>
      </c>
      <c r="E117" s="1">
        <v>39181</v>
      </c>
      <c r="F117" s="6">
        <v>1.8789586789515325</v>
      </c>
      <c r="G117" t="s">
        <v>250</v>
      </c>
      <c r="H117" t="s">
        <v>206</v>
      </c>
      <c r="I117" t="s">
        <v>316</v>
      </c>
      <c r="J117" s="1">
        <v>23.263308491360608</v>
      </c>
      <c r="K117" s="1">
        <v>2875.0500199999947</v>
      </c>
      <c r="L117" s="2">
        <v>3.9052843350700042E-2</v>
      </c>
      <c r="M117">
        <v>0.63</v>
      </c>
      <c r="N117">
        <v>1.73</v>
      </c>
      <c r="O117">
        <v>0.88</v>
      </c>
    </row>
    <row r="118" spans="1:15" ht="16" x14ac:dyDescent="0.2">
      <c r="A118" t="s">
        <v>261</v>
      </c>
      <c r="B118" s="1">
        <v>1488406.63</v>
      </c>
      <c r="C118" s="1">
        <v>75592.36</v>
      </c>
      <c r="D118" s="1">
        <v>17556.13</v>
      </c>
      <c r="E118" s="1">
        <v>46422</v>
      </c>
      <c r="F118" s="6">
        <v>1.6283736159579509</v>
      </c>
      <c r="G118" t="s">
        <v>250</v>
      </c>
      <c r="H118" t="s">
        <v>124</v>
      </c>
      <c r="I118" t="s">
        <v>262</v>
      </c>
      <c r="J118" s="1">
        <v>32.062527034595661</v>
      </c>
      <c r="K118" s="1">
        <v>1604.0479599999978</v>
      </c>
      <c r="L118" s="2">
        <v>2.1219710034188613E-2</v>
      </c>
      <c r="M118">
        <v>0.78</v>
      </c>
      <c r="N118">
        <v>1.64</v>
      </c>
      <c r="O118" t="s">
        <v>544</v>
      </c>
    </row>
    <row r="119" spans="1:15" ht="16" x14ac:dyDescent="0.2">
      <c r="A119" t="s">
        <v>317</v>
      </c>
      <c r="B119" s="1">
        <v>714215.12</v>
      </c>
      <c r="C119" s="1">
        <v>54032.06</v>
      </c>
      <c r="D119" s="1">
        <v>13900.2</v>
      </c>
      <c r="E119" s="1">
        <v>29299</v>
      </c>
      <c r="F119" s="6">
        <v>1.8441605515546604</v>
      </c>
      <c r="G119" t="s">
        <v>250</v>
      </c>
      <c r="H119" t="s">
        <v>130</v>
      </c>
      <c r="I119" t="s">
        <v>318</v>
      </c>
      <c r="J119" s="1">
        <v>24.37677463394655</v>
      </c>
      <c r="K119" s="1">
        <v>1130.3715799999964</v>
      </c>
      <c r="L119" s="2">
        <v>2.0920386526073528E-2</v>
      </c>
      <c r="M119">
        <v>0.28000000000000003</v>
      </c>
      <c r="N119">
        <v>1.0900000000000001</v>
      </c>
      <c r="O119">
        <v>1.67</v>
      </c>
    </row>
    <row r="120" spans="1:15" ht="16" x14ac:dyDescent="0.2">
      <c r="A120" t="s">
        <v>319</v>
      </c>
      <c r="B120" s="1">
        <v>868788.54</v>
      </c>
      <c r="C120" s="1">
        <v>61009.77</v>
      </c>
      <c r="D120" s="1">
        <v>10584.26</v>
      </c>
      <c r="E120" s="1">
        <v>33610</v>
      </c>
      <c r="F120" s="6">
        <v>1.8152267182386193</v>
      </c>
      <c r="G120" t="s">
        <v>250</v>
      </c>
      <c r="H120" t="s">
        <v>118</v>
      </c>
      <c r="I120" t="s">
        <v>320</v>
      </c>
      <c r="J120" s="1">
        <v>25.849108598631361</v>
      </c>
      <c r="K120" s="1">
        <v>324.22619999999432</v>
      </c>
      <c r="L120" s="2">
        <v>5.3143324421644983E-3</v>
      </c>
      <c r="M120">
        <v>0.45</v>
      </c>
      <c r="N120">
        <v>2.5499999999999998</v>
      </c>
      <c r="O120">
        <v>0</v>
      </c>
    </row>
    <row r="121" spans="1:15" ht="16" x14ac:dyDescent="0.2">
      <c r="A121" t="s">
        <v>263</v>
      </c>
      <c r="B121" s="1">
        <v>1900673.47</v>
      </c>
      <c r="C121" s="1">
        <v>83152.990000000005</v>
      </c>
      <c r="D121" s="1">
        <v>21597.71</v>
      </c>
      <c r="E121" s="1">
        <v>52026</v>
      </c>
      <c r="F121" s="6">
        <v>1.5982968131318958</v>
      </c>
      <c r="G121" t="s">
        <v>250</v>
      </c>
      <c r="H121" t="s">
        <v>125</v>
      </c>
      <c r="I121" t="s">
        <v>264</v>
      </c>
      <c r="J121" s="1">
        <v>36.533146311459653</v>
      </c>
      <c r="K121" s="1">
        <v>232.9106800000078</v>
      </c>
      <c r="L121" s="2">
        <v>2.8009898381285842E-3</v>
      </c>
      <c r="M121">
        <v>0.73</v>
      </c>
      <c r="N121">
        <v>1.22</v>
      </c>
      <c r="O121">
        <v>1.63</v>
      </c>
    </row>
    <row r="122" spans="1:15" ht="16" x14ac:dyDescent="0.2">
      <c r="A122" t="s">
        <v>265</v>
      </c>
      <c r="B122" s="1">
        <v>2499011.12</v>
      </c>
      <c r="C122" s="1">
        <v>124595.48</v>
      </c>
      <c r="D122" s="1">
        <v>23591.899999999998</v>
      </c>
      <c r="E122" s="1">
        <v>78174</v>
      </c>
      <c r="F122" s="6">
        <v>1.5938224985289227</v>
      </c>
      <c r="G122" t="s">
        <v>250</v>
      </c>
      <c r="H122" t="s">
        <v>124</v>
      </c>
      <c r="I122" t="s">
        <v>266</v>
      </c>
      <c r="J122" s="1">
        <v>31.96729245017525</v>
      </c>
      <c r="K122" s="1">
        <v>0.1953199999988775</v>
      </c>
      <c r="L122" s="2">
        <v>1.5676331115613304E-6</v>
      </c>
      <c r="M122">
        <v>0.71</v>
      </c>
      <c r="N122">
        <v>2.7</v>
      </c>
      <c r="O122">
        <v>2.62</v>
      </c>
    </row>
    <row r="123" spans="1:15" ht="16" x14ac:dyDescent="0.2">
      <c r="A123" t="s">
        <v>321</v>
      </c>
      <c r="B123" s="1">
        <v>792386.5</v>
      </c>
      <c r="C123" s="1">
        <v>50420.85</v>
      </c>
      <c r="D123" s="1">
        <v>15164.16</v>
      </c>
      <c r="E123" s="1">
        <v>27925</v>
      </c>
      <c r="F123" s="6">
        <v>1.8055810205908684</v>
      </c>
      <c r="G123" t="s">
        <v>250</v>
      </c>
      <c r="H123" t="s">
        <v>123</v>
      </c>
      <c r="I123" t="s">
        <v>322</v>
      </c>
      <c r="J123" s="1">
        <v>28.375523724261413</v>
      </c>
      <c r="K123" s="1">
        <v>2.8500000002401604E-2</v>
      </c>
      <c r="L123" s="2">
        <v>5.6524235514477849E-7</v>
      </c>
      <c r="M123">
        <v>0.89</v>
      </c>
      <c r="N123">
        <v>0.68</v>
      </c>
      <c r="O123">
        <v>0.85</v>
      </c>
    </row>
    <row r="124" spans="1:15" ht="16" x14ac:dyDescent="0.2">
      <c r="A124" t="s">
        <v>323</v>
      </c>
      <c r="B124" s="1">
        <v>1022071.71</v>
      </c>
      <c r="C124" s="1">
        <v>54952.72</v>
      </c>
      <c r="D124" s="1">
        <v>11494.03</v>
      </c>
      <c r="E124" s="1">
        <v>31583</v>
      </c>
      <c r="F124" s="6">
        <v>1.7399461735743913</v>
      </c>
      <c r="G124" t="s">
        <v>250</v>
      </c>
      <c r="H124" t="s">
        <v>128</v>
      </c>
      <c r="I124" t="s">
        <v>324</v>
      </c>
      <c r="J124" s="1">
        <v>32.361451097109203</v>
      </c>
      <c r="K124" s="1">
        <v>0</v>
      </c>
      <c r="L124" s="2">
        <v>0</v>
      </c>
      <c r="M124">
        <v>0.93</v>
      </c>
      <c r="N124">
        <v>0.84</v>
      </c>
      <c r="O124">
        <v>0.83</v>
      </c>
    </row>
    <row r="125" spans="1:15" ht="16" x14ac:dyDescent="0.2">
      <c r="A125" t="s">
        <v>325</v>
      </c>
      <c r="B125" s="1">
        <v>930323.66</v>
      </c>
      <c r="C125" s="1">
        <v>71537.759999999995</v>
      </c>
      <c r="D125" s="1">
        <v>14831.78</v>
      </c>
      <c r="E125" s="1">
        <v>41599</v>
      </c>
      <c r="F125" s="6">
        <v>1.719699031226712</v>
      </c>
      <c r="G125" t="s">
        <v>250</v>
      </c>
      <c r="H125" t="s">
        <v>122</v>
      </c>
      <c r="I125" t="s">
        <v>326</v>
      </c>
      <c r="J125" s="1">
        <v>22.364087117478785</v>
      </c>
      <c r="K125" s="1">
        <v>0</v>
      </c>
      <c r="L125" s="2">
        <v>0</v>
      </c>
      <c r="M125">
        <v>0.86</v>
      </c>
      <c r="N125">
        <v>0.84</v>
      </c>
      <c r="O125">
        <v>1.75</v>
      </c>
    </row>
    <row r="126" spans="1:15" ht="16" x14ac:dyDescent="0.2">
      <c r="A126" t="s">
        <v>327</v>
      </c>
      <c r="B126" s="1">
        <v>1011263.09</v>
      </c>
      <c r="C126" s="1">
        <v>65560.59</v>
      </c>
      <c r="D126" s="1">
        <v>19616.260000000002</v>
      </c>
      <c r="E126" s="1">
        <v>38152</v>
      </c>
      <c r="F126" s="6">
        <v>1.7184050639547075</v>
      </c>
      <c r="G126" t="s">
        <v>250</v>
      </c>
      <c r="H126" t="s">
        <v>130</v>
      </c>
      <c r="I126" t="s">
        <v>328</v>
      </c>
      <c r="J126" s="1">
        <v>26.506161931222479</v>
      </c>
      <c r="K126" s="1">
        <v>0</v>
      </c>
      <c r="L126" s="2">
        <v>0</v>
      </c>
      <c r="M126">
        <v>0.84</v>
      </c>
      <c r="N126">
        <v>0.89</v>
      </c>
      <c r="O126">
        <v>1.6</v>
      </c>
    </row>
    <row r="127" spans="1:15" ht="16" x14ac:dyDescent="0.2">
      <c r="A127" t="s">
        <v>329</v>
      </c>
      <c r="B127" s="1">
        <v>923887.45</v>
      </c>
      <c r="C127" s="1">
        <v>56349.75</v>
      </c>
      <c r="D127" s="1">
        <v>14391.16</v>
      </c>
      <c r="E127" s="1">
        <v>33610</v>
      </c>
      <c r="F127" s="6">
        <v>1.6765769116334424</v>
      </c>
      <c r="G127" t="s">
        <v>250</v>
      </c>
      <c r="H127" t="s">
        <v>120</v>
      </c>
      <c r="I127" t="s">
        <v>330</v>
      </c>
      <c r="J127" s="1">
        <v>27.488469205593571</v>
      </c>
      <c r="K127" s="1">
        <v>0</v>
      </c>
      <c r="L127" s="2">
        <v>0</v>
      </c>
      <c r="M127">
        <v>0.12</v>
      </c>
      <c r="N127">
        <v>2.5</v>
      </c>
      <c r="O127" t="s">
        <v>544</v>
      </c>
    </row>
    <row r="128" spans="1:15" ht="16" x14ac:dyDescent="0.2">
      <c r="A128" t="s">
        <v>331</v>
      </c>
      <c r="B128" s="1">
        <v>808531.57</v>
      </c>
      <c r="C128" s="1">
        <v>48112.06</v>
      </c>
      <c r="D128" s="1">
        <v>13335.57</v>
      </c>
      <c r="E128" s="1">
        <v>28814</v>
      </c>
      <c r="F128" s="6">
        <v>1.6697459568265425</v>
      </c>
      <c r="G128" t="s">
        <v>250</v>
      </c>
      <c r="H128" t="s">
        <v>127</v>
      </c>
      <c r="I128" t="s">
        <v>332</v>
      </c>
      <c r="J128" s="1">
        <v>28.060372388422294</v>
      </c>
      <c r="K128" s="1">
        <v>0</v>
      </c>
      <c r="L128" s="2">
        <v>0</v>
      </c>
      <c r="M128">
        <v>0.84</v>
      </c>
      <c r="N128">
        <v>0.71</v>
      </c>
      <c r="O128">
        <v>0.97</v>
      </c>
    </row>
    <row r="129" spans="1:15" ht="16" x14ac:dyDescent="0.2">
      <c r="A129" t="s">
        <v>333</v>
      </c>
      <c r="B129" s="1">
        <v>1040782.3200000001</v>
      </c>
      <c r="C129" s="1">
        <v>65864.5</v>
      </c>
      <c r="D129" s="1">
        <v>15314.46</v>
      </c>
      <c r="E129" s="1">
        <v>39617</v>
      </c>
      <c r="F129" s="6">
        <v>1.6625312365903526</v>
      </c>
      <c r="G129" t="s">
        <v>250</v>
      </c>
      <c r="H129" t="s">
        <v>121</v>
      </c>
      <c r="I129" t="s">
        <v>334</v>
      </c>
      <c r="J129" s="1">
        <v>26.271103819067573</v>
      </c>
      <c r="K129" s="1">
        <v>0</v>
      </c>
      <c r="L129" s="2">
        <v>0</v>
      </c>
      <c r="M129">
        <v>0.79</v>
      </c>
      <c r="N129">
        <v>1.76</v>
      </c>
      <c r="O129">
        <v>0.85</v>
      </c>
    </row>
    <row r="130" spans="1:15" ht="16" x14ac:dyDescent="0.2">
      <c r="A130" t="s">
        <v>34</v>
      </c>
      <c r="B130" s="1">
        <v>895421.91</v>
      </c>
      <c r="C130" s="1">
        <v>71748.44</v>
      </c>
      <c r="D130" s="1">
        <v>15122.08</v>
      </c>
      <c r="E130" s="1">
        <v>43445</v>
      </c>
      <c r="F130" s="6">
        <v>1.6514775002877202</v>
      </c>
      <c r="G130" t="s">
        <v>250</v>
      </c>
      <c r="H130" t="s">
        <v>123</v>
      </c>
      <c r="I130" t="s">
        <v>335</v>
      </c>
      <c r="J130" s="1">
        <v>20.610470940269305</v>
      </c>
      <c r="K130" s="1">
        <v>0</v>
      </c>
      <c r="L130" s="2">
        <v>0</v>
      </c>
      <c r="M130">
        <v>0.74</v>
      </c>
      <c r="N130">
        <v>0.83</v>
      </c>
      <c r="O130">
        <v>1.65</v>
      </c>
    </row>
    <row r="131" spans="1:15" ht="16" x14ac:dyDescent="0.2">
      <c r="A131" t="s">
        <v>13</v>
      </c>
      <c r="B131" s="1">
        <v>754015.45</v>
      </c>
      <c r="C131" s="1">
        <v>55539.53</v>
      </c>
      <c r="D131" s="1">
        <v>6772.65</v>
      </c>
      <c r="E131" s="1">
        <v>33650</v>
      </c>
      <c r="F131" s="6">
        <v>1.6505060921248143</v>
      </c>
      <c r="G131" t="s">
        <v>250</v>
      </c>
      <c r="H131" t="s">
        <v>120</v>
      </c>
      <c r="I131" t="s">
        <v>336</v>
      </c>
      <c r="J131" s="1">
        <v>22.407591381872212</v>
      </c>
      <c r="K131" s="1">
        <v>0</v>
      </c>
      <c r="L131" s="2">
        <v>0</v>
      </c>
      <c r="M131">
        <v>0.61</v>
      </c>
      <c r="N131">
        <v>0.99</v>
      </c>
      <c r="O131" t="s">
        <v>544</v>
      </c>
    </row>
    <row r="132" spans="1:15" ht="16" x14ac:dyDescent="0.2">
      <c r="A132" t="s">
        <v>337</v>
      </c>
      <c r="B132" s="1">
        <v>937960.45</v>
      </c>
      <c r="C132" s="1">
        <v>51829.8</v>
      </c>
      <c r="D132" s="1">
        <v>14397.62</v>
      </c>
      <c r="E132" s="1">
        <v>31731</v>
      </c>
      <c r="F132" s="6">
        <v>1.6334121206391228</v>
      </c>
      <c r="G132" t="s">
        <v>250</v>
      </c>
      <c r="H132" t="s">
        <v>126</v>
      </c>
      <c r="I132" t="s">
        <v>338</v>
      </c>
      <c r="J132" s="1">
        <v>29.55975071696448</v>
      </c>
      <c r="K132" s="1">
        <v>0</v>
      </c>
      <c r="L132" s="2">
        <v>0</v>
      </c>
      <c r="M132">
        <v>0.77</v>
      </c>
      <c r="N132">
        <v>0.9</v>
      </c>
      <c r="O132">
        <v>0.93</v>
      </c>
    </row>
    <row r="133" spans="1:15" ht="16" x14ac:dyDescent="0.2">
      <c r="A133" t="s">
        <v>339</v>
      </c>
      <c r="B133" s="1">
        <v>942153.04</v>
      </c>
      <c r="C133" s="1">
        <v>65089.62</v>
      </c>
      <c r="D133" s="1">
        <v>21323.06</v>
      </c>
      <c r="E133" s="1">
        <v>40441</v>
      </c>
      <c r="F133" s="6">
        <v>1.6094958087089835</v>
      </c>
      <c r="G133" t="s">
        <v>250</v>
      </c>
      <c r="H133" t="s">
        <v>130</v>
      </c>
      <c r="I133" t="s">
        <v>340</v>
      </c>
      <c r="J133" s="1">
        <v>23.296976830444351</v>
      </c>
      <c r="K133" s="1">
        <v>0</v>
      </c>
      <c r="L133" s="2">
        <v>0</v>
      </c>
      <c r="M133">
        <v>0.8</v>
      </c>
      <c r="N133">
        <v>0.79</v>
      </c>
      <c r="O133">
        <v>1.72</v>
      </c>
    </row>
    <row r="134" spans="1:15" ht="16" x14ac:dyDescent="0.2">
      <c r="A134" t="s">
        <v>341</v>
      </c>
      <c r="B134" s="1">
        <v>928541.34</v>
      </c>
      <c r="C134" s="1">
        <v>40067.019999999997</v>
      </c>
      <c r="D134" s="1">
        <v>15825.99</v>
      </c>
      <c r="E134" s="1">
        <v>25015</v>
      </c>
      <c r="F134" s="6">
        <v>1.6017197681391164</v>
      </c>
      <c r="G134" t="s">
        <v>250</v>
      </c>
      <c r="H134" t="s">
        <v>127</v>
      </c>
      <c r="I134" t="s">
        <v>342</v>
      </c>
      <c r="J134" s="1">
        <v>37.119381970817507</v>
      </c>
      <c r="K134" s="1">
        <v>0</v>
      </c>
      <c r="L134" s="2">
        <v>0</v>
      </c>
      <c r="M134">
        <v>0.66</v>
      </c>
      <c r="N134">
        <v>1.38</v>
      </c>
      <c r="O134">
        <v>0.6</v>
      </c>
    </row>
    <row r="135" spans="1:15" ht="16" x14ac:dyDescent="0.2">
      <c r="A135" t="s">
        <v>43</v>
      </c>
      <c r="B135" s="1">
        <v>2254679.66</v>
      </c>
      <c r="C135" s="1">
        <v>142343.23000000001</v>
      </c>
      <c r="D135" s="1">
        <v>47925.760000000002</v>
      </c>
      <c r="E135" s="1">
        <v>89636</v>
      </c>
      <c r="F135" s="6">
        <v>1.5880140791646216</v>
      </c>
      <c r="G135" t="s">
        <v>250</v>
      </c>
      <c r="H135" t="s">
        <v>123</v>
      </c>
      <c r="I135" t="s">
        <v>267</v>
      </c>
      <c r="J135" s="1">
        <v>25.153729082065244</v>
      </c>
      <c r="K135" s="1">
        <v>0</v>
      </c>
      <c r="L135" s="2">
        <v>0</v>
      </c>
      <c r="M135">
        <v>0.85</v>
      </c>
      <c r="N135">
        <v>4.2300000000000004</v>
      </c>
      <c r="O135">
        <v>2.65</v>
      </c>
    </row>
    <row r="136" spans="1:15" ht="16" x14ac:dyDescent="0.2">
      <c r="A136" t="s">
        <v>268</v>
      </c>
      <c r="B136" s="1">
        <v>1648765.3</v>
      </c>
      <c r="C136" s="1">
        <v>108962.67</v>
      </c>
      <c r="D136" s="1">
        <v>18049.43</v>
      </c>
      <c r="E136" s="1">
        <v>68724</v>
      </c>
      <c r="F136" s="6">
        <v>1.5855111751353239</v>
      </c>
      <c r="G136" t="s">
        <v>250</v>
      </c>
      <c r="H136" t="s">
        <v>120</v>
      </c>
      <c r="I136" t="s">
        <v>269</v>
      </c>
      <c r="J136" s="1">
        <v>23.991113730283452</v>
      </c>
      <c r="K136" s="1">
        <v>0</v>
      </c>
      <c r="L136" s="2">
        <v>0</v>
      </c>
      <c r="M136">
        <v>0.82</v>
      </c>
      <c r="N136">
        <v>3.25</v>
      </c>
      <c r="O136">
        <v>1.8</v>
      </c>
    </row>
    <row r="137" spans="1:15" ht="16" x14ac:dyDescent="0.2">
      <c r="A137" t="s">
        <v>270</v>
      </c>
      <c r="B137" s="1">
        <v>3326201.5300000003</v>
      </c>
      <c r="C137" s="1">
        <v>144370.41</v>
      </c>
      <c r="D137" s="1">
        <v>38047.24</v>
      </c>
      <c r="E137" s="1">
        <v>91314</v>
      </c>
      <c r="F137" s="6">
        <v>1.5810325908403968</v>
      </c>
      <c r="G137" t="s">
        <v>250</v>
      </c>
      <c r="H137" t="s">
        <v>132</v>
      </c>
      <c r="I137" t="s">
        <v>271</v>
      </c>
      <c r="J137" s="1">
        <v>36.425975534967257</v>
      </c>
      <c r="K137" s="1">
        <v>0</v>
      </c>
      <c r="L137" s="2">
        <v>0</v>
      </c>
      <c r="M137">
        <v>0.81</v>
      </c>
      <c r="N137">
        <v>4.12</v>
      </c>
      <c r="O137">
        <v>3.34</v>
      </c>
    </row>
    <row r="138" spans="1:15" ht="16" x14ac:dyDescent="0.2">
      <c r="A138" t="s">
        <v>343</v>
      </c>
      <c r="B138" s="1">
        <v>961638.29</v>
      </c>
      <c r="C138" s="1">
        <v>53934</v>
      </c>
      <c r="D138" s="1">
        <v>13552.46</v>
      </c>
      <c r="E138" s="1">
        <v>34183</v>
      </c>
      <c r="F138" s="6">
        <v>1.5778018313196618</v>
      </c>
      <c r="G138" t="s">
        <v>250</v>
      </c>
      <c r="H138" t="s">
        <v>126</v>
      </c>
      <c r="I138" t="s">
        <v>344</v>
      </c>
      <c r="J138" s="1">
        <v>28.132062428692628</v>
      </c>
      <c r="K138" s="1">
        <v>0</v>
      </c>
      <c r="L138" s="2">
        <v>0</v>
      </c>
      <c r="M138">
        <v>0.88</v>
      </c>
      <c r="N138">
        <v>0.94</v>
      </c>
      <c r="O138" t="s">
        <v>544</v>
      </c>
    </row>
    <row r="139" spans="1:15" ht="16" x14ac:dyDescent="0.2">
      <c r="A139" t="s">
        <v>272</v>
      </c>
      <c r="B139" s="1">
        <v>2964725.87</v>
      </c>
      <c r="C139" s="1">
        <v>184952.01</v>
      </c>
      <c r="D139" s="1">
        <v>41119.1</v>
      </c>
      <c r="E139" s="1">
        <v>117765</v>
      </c>
      <c r="F139" s="6">
        <v>1.5705176410648325</v>
      </c>
      <c r="G139" t="s">
        <v>250</v>
      </c>
      <c r="H139" t="s">
        <v>118</v>
      </c>
      <c r="I139" t="s">
        <v>273</v>
      </c>
      <c r="J139" s="1">
        <v>25.174932025644292</v>
      </c>
      <c r="K139" s="1">
        <v>0</v>
      </c>
      <c r="L139" s="2">
        <v>0</v>
      </c>
      <c r="M139">
        <v>0.84</v>
      </c>
      <c r="N139">
        <v>5.19</v>
      </c>
      <c r="O139">
        <v>4.55</v>
      </c>
    </row>
    <row r="140" spans="1:15" ht="16" x14ac:dyDescent="0.2">
      <c r="A140" t="s">
        <v>274</v>
      </c>
      <c r="B140" s="1">
        <v>1285406.8500000001</v>
      </c>
      <c r="C140" s="1">
        <v>75973.039999999994</v>
      </c>
      <c r="D140" s="1">
        <v>17264.669999999998</v>
      </c>
      <c r="E140" s="1">
        <v>48717</v>
      </c>
      <c r="F140" s="6">
        <v>1.5594769792885439</v>
      </c>
      <c r="G140" t="s">
        <v>250</v>
      </c>
      <c r="H140" t="s">
        <v>125</v>
      </c>
      <c r="I140" t="s">
        <v>275</v>
      </c>
      <c r="J140" s="1">
        <v>26.385180737730156</v>
      </c>
      <c r="K140" s="1">
        <v>0</v>
      </c>
      <c r="L140" s="2">
        <v>0</v>
      </c>
      <c r="M140">
        <v>0.87</v>
      </c>
      <c r="N140">
        <v>1.57</v>
      </c>
      <c r="O140">
        <v>0.82</v>
      </c>
    </row>
    <row r="141" spans="1:15" ht="16" x14ac:dyDescent="0.2">
      <c r="A141" t="s">
        <v>276</v>
      </c>
      <c r="B141" s="1">
        <v>1976139.61</v>
      </c>
      <c r="C141" s="1">
        <v>99223.15</v>
      </c>
      <c r="D141" s="1">
        <v>20517.060000000001</v>
      </c>
      <c r="E141" s="1">
        <v>63975</v>
      </c>
      <c r="F141" s="6">
        <v>1.5509675654552559</v>
      </c>
      <c r="G141" t="s">
        <v>250</v>
      </c>
      <c r="H141" t="s">
        <v>126</v>
      </c>
      <c r="I141" t="s">
        <v>277</v>
      </c>
      <c r="J141" s="1">
        <v>30.889247518561941</v>
      </c>
      <c r="K141" s="1">
        <v>0</v>
      </c>
      <c r="L141" s="2">
        <v>0</v>
      </c>
      <c r="M141">
        <v>0.86</v>
      </c>
      <c r="N141">
        <v>3.29</v>
      </c>
      <c r="O141">
        <v>1.61</v>
      </c>
    </row>
    <row r="142" spans="1:15" ht="16" x14ac:dyDescent="0.2">
      <c r="A142" t="s">
        <v>278</v>
      </c>
      <c r="B142" s="1">
        <v>1356259.81</v>
      </c>
      <c r="C142" s="1">
        <v>81288.89</v>
      </c>
      <c r="D142" s="1">
        <v>15808.52</v>
      </c>
      <c r="E142" s="1">
        <v>54715</v>
      </c>
      <c r="F142" s="6">
        <v>1.485678333181029</v>
      </c>
      <c r="G142" t="s">
        <v>250</v>
      </c>
      <c r="H142" t="s">
        <v>123</v>
      </c>
      <c r="I142" t="s">
        <v>279</v>
      </c>
      <c r="J142" s="1">
        <v>24.787714703463401</v>
      </c>
      <c r="K142" s="1">
        <v>0</v>
      </c>
      <c r="L142" s="2">
        <v>0</v>
      </c>
      <c r="M142">
        <v>0.94</v>
      </c>
      <c r="N142">
        <v>1.72</v>
      </c>
      <c r="O142">
        <v>0.78</v>
      </c>
    </row>
    <row r="143" spans="1:15" ht="16" x14ac:dyDescent="0.2">
      <c r="A143" t="s">
        <v>280</v>
      </c>
      <c r="B143" s="1">
        <v>1941835.1500000001</v>
      </c>
      <c r="C143" s="1">
        <v>93923.86</v>
      </c>
      <c r="D143" s="1">
        <v>26089.1</v>
      </c>
      <c r="E143" s="1">
        <v>63827</v>
      </c>
      <c r="F143" s="6">
        <v>1.4715380638287872</v>
      </c>
      <c r="G143" t="s">
        <v>250</v>
      </c>
      <c r="H143" t="s">
        <v>122</v>
      </c>
      <c r="I143" t="s">
        <v>281</v>
      </c>
      <c r="J143" s="1">
        <v>30.423412505679416</v>
      </c>
      <c r="K143" s="1">
        <v>0</v>
      </c>
      <c r="L143" s="2">
        <v>0</v>
      </c>
      <c r="M143">
        <v>0.85</v>
      </c>
      <c r="N143">
        <v>2.36</v>
      </c>
      <c r="O143">
        <v>1.64</v>
      </c>
    </row>
    <row r="144" spans="1:15" ht="16" x14ac:dyDescent="0.2">
      <c r="A144" t="s">
        <v>282</v>
      </c>
      <c r="B144" s="1">
        <v>1186668.3799999999</v>
      </c>
      <c r="C144" s="1">
        <v>72305.11</v>
      </c>
      <c r="D144" s="1">
        <v>12774.42</v>
      </c>
      <c r="E144" s="1">
        <v>49274</v>
      </c>
      <c r="F144" s="6">
        <v>1.4674089783658726</v>
      </c>
      <c r="G144" t="s">
        <v>250</v>
      </c>
      <c r="H144" t="s">
        <v>121</v>
      </c>
      <c r="I144" t="s">
        <v>283</v>
      </c>
      <c r="J144" s="1">
        <v>24.083053537362503</v>
      </c>
      <c r="K144" s="1">
        <v>0</v>
      </c>
      <c r="L144" s="2">
        <v>0</v>
      </c>
      <c r="M144">
        <v>0.81</v>
      </c>
      <c r="N144">
        <v>1.33</v>
      </c>
      <c r="O144">
        <v>0.87</v>
      </c>
    </row>
    <row r="145" spans="1:15" ht="16" x14ac:dyDescent="0.2">
      <c r="A145" t="s">
        <v>47</v>
      </c>
      <c r="B145" s="1">
        <v>1160106.67</v>
      </c>
      <c r="C145" s="1">
        <v>71072.31</v>
      </c>
      <c r="D145" s="1">
        <v>17472.669999999998</v>
      </c>
      <c r="E145" s="1">
        <v>49619</v>
      </c>
      <c r="F145" s="6">
        <v>1.4323607892138093</v>
      </c>
      <c r="G145" t="s">
        <v>250</v>
      </c>
      <c r="H145" t="s">
        <v>132</v>
      </c>
      <c r="I145" t="s">
        <v>284</v>
      </c>
      <c r="J145" s="1">
        <v>23.380291219089461</v>
      </c>
      <c r="K145" s="1">
        <v>0</v>
      </c>
      <c r="L145" s="2">
        <v>0</v>
      </c>
      <c r="M145">
        <v>0.73</v>
      </c>
      <c r="N145">
        <v>0.87</v>
      </c>
      <c r="O145">
        <v>1.61</v>
      </c>
    </row>
    <row r="146" spans="1:15" ht="16" x14ac:dyDescent="0.2">
      <c r="A146" t="s">
        <v>285</v>
      </c>
      <c r="B146" s="1">
        <v>2095687.26</v>
      </c>
      <c r="C146" s="1">
        <v>70158.570000000007</v>
      </c>
      <c r="D146" s="1">
        <v>15772.77</v>
      </c>
      <c r="E146" s="1">
        <v>49171</v>
      </c>
      <c r="F146" s="6">
        <v>1.4268282117508289</v>
      </c>
      <c r="G146" t="s">
        <v>250</v>
      </c>
      <c r="H146" t="s">
        <v>121</v>
      </c>
      <c r="I146" t="s">
        <v>286</v>
      </c>
      <c r="J146" s="1">
        <v>42.620391287547541</v>
      </c>
      <c r="K146" s="1">
        <v>0</v>
      </c>
      <c r="L146" s="2">
        <v>0</v>
      </c>
      <c r="M146">
        <v>0.88</v>
      </c>
      <c r="N146">
        <v>2.27</v>
      </c>
      <c r="O146" t="s">
        <v>544</v>
      </c>
    </row>
    <row r="147" spans="1:15" ht="16" x14ac:dyDescent="0.2">
      <c r="A147" t="s">
        <v>287</v>
      </c>
      <c r="B147" s="1">
        <v>1269671.6299999999</v>
      </c>
      <c r="C147" s="1">
        <v>43191.87</v>
      </c>
      <c r="D147" s="1">
        <v>11605.91</v>
      </c>
      <c r="E147" s="1">
        <v>30704</v>
      </c>
      <c r="F147" s="6">
        <v>1.4067180171964566</v>
      </c>
      <c r="G147" t="s">
        <v>250</v>
      </c>
      <c r="H147" t="s">
        <v>126</v>
      </c>
      <c r="I147" t="s">
        <v>288</v>
      </c>
      <c r="J147" s="1">
        <v>41.35199420270974</v>
      </c>
      <c r="K147" s="1">
        <v>0</v>
      </c>
      <c r="L147" s="2">
        <v>0</v>
      </c>
      <c r="M147">
        <v>0.91</v>
      </c>
      <c r="N147">
        <v>0.98</v>
      </c>
      <c r="O147">
        <v>3.38</v>
      </c>
    </row>
    <row r="148" spans="1:15" ht="16" x14ac:dyDescent="0.2">
      <c r="A148" t="s">
        <v>289</v>
      </c>
      <c r="B148" s="1">
        <v>1193531.57</v>
      </c>
      <c r="C148" s="1">
        <v>62053.120000000003</v>
      </c>
      <c r="D148" s="1">
        <v>16673.37</v>
      </c>
      <c r="E148" s="1">
        <v>44295</v>
      </c>
      <c r="F148" s="6">
        <v>1.4009057455694773</v>
      </c>
      <c r="G148" t="s">
        <v>250</v>
      </c>
      <c r="H148" t="s">
        <v>128</v>
      </c>
      <c r="I148" t="s">
        <v>290</v>
      </c>
      <c r="J148" s="1">
        <v>26.945063099672652</v>
      </c>
      <c r="K148" s="1">
        <v>0</v>
      </c>
      <c r="L148" s="2">
        <v>0</v>
      </c>
      <c r="M148">
        <v>0.78</v>
      </c>
      <c r="N148">
        <v>2.4900000000000002</v>
      </c>
      <c r="O148">
        <v>0.88</v>
      </c>
    </row>
    <row r="149" spans="1:15" ht="16" x14ac:dyDescent="0.2">
      <c r="A149" t="s">
        <v>291</v>
      </c>
      <c r="B149" s="1">
        <v>1555586</v>
      </c>
      <c r="C149" s="1">
        <v>82185.94</v>
      </c>
      <c r="D149" s="1">
        <v>16608.41</v>
      </c>
      <c r="E149" s="1">
        <v>58981</v>
      </c>
      <c r="F149" s="6">
        <v>1.3934307658398468</v>
      </c>
      <c r="G149" t="s">
        <v>250</v>
      </c>
      <c r="H149" t="s">
        <v>129</v>
      </c>
      <c r="I149" t="s">
        <v>292</v>
      </c>
      <c r="J149" s="1">
        <v>26.374357844051474</v>
      </c>
      <c r="K149" s="1">
        <v>0</v>
      </c>
      <c r="L149" s="2">
        <v>0</v>
      </c>
      <c r="M149">
        <v>0.79</v>
      </c>
      <c r="N149">
        <v>1.66</v>
      </c>
      <c r="O149">
        <v>1.79</v>
      </c>
    </row>
    <row r="150" spans="1:15" ht="16" x14ac:dyDescent="0.2">
      <c r="A150" t="s">
        <v>293</v>
      </c>
      <c r="B150" s="1">
        <v>1863858.16</v>
      </c>
      <c r="C150" s="1">
        <v>92768.5</v>
      </c>
      <c r="D150" s="1">
        <v>18517.04</v>
      </c>
      <c r="E150" s="1">
        <v>66693</v>
      </c>
      <c r="F150" s="6">
        <v>1.3909780636648523</v>
      </c>
      <c r="G150" t="s">
        <v>250</v>
      </c>
      <c r="H150" t="s">
        <v>124</v>
      </c>
      <c r="I150" t="s">
        <v>294</v>
      </c>
      <c r="J150" s="1">
        <v>27.946833400806682</v>
      </c>
      <c r="K150" s="1">
        <v>0</v>
      </c>
      <c r="L150" s="2">
        <v>0</v>
      </c>
      <c r="M150">
        <v>0.8</v>
      </c>
      <c r="N150">
        <v>1.9</v>
      </c>
      <c r="O150">
        <v>1.7</v>
      </c>
    </row>
    <row r="151" spans="1:15" ht="16" x14ac:dyDescent="0.2">
      <c r="A151" t="s">
        <v>295</v>
      </c>
      <c r="B151" s="1">
        <v>1718307.54</v>
      </c>
      <c r="C151" s="1">
        <v>87072.93</v>
      </c>
      <c r="D151" s="1">
        <v>24428.649999999998</v>
      </c>
      <c r="E151" s="1">
        <v>65842</v>
      </c>
      <c r="F151" s="6">
        <v>1.3224526897724855</v>
      </c>
      <c r="G151" t="s">
        <v>250</v>
      </c>
      <c r="H151" t="s">
        <v>130</v>
      </c>
      <c r="I151" t="s">
        <v>296</v>
      </c>
      <c r="J151" s="1">
        <v>26.097438413170924</v>
      </c>
      <c r="K151" s="1">
        <v>0</v>
      </c>
      <c r="L151" s="2">
        <v>0</v>
      </c>
      <c r="M151">
        <v>0.92</v>
      </c>
      <c r="N151">
        <v>2.14</v>
      </c>
      <c r="O151">
        <v>3.45</v>
      </c>
    </row>
    <row r="152" spans="1:15" ht="16" x14ac:dyDescent="0.2">
      <c r="A152" t="s">
        <v>297</v>
      </c>
      <c r="B152" s="1">
        <v>2276340.0099999998</v>
      </c>
      <c r="C152" s="1">
        <v>90004.32</v>
      </c>
      <c r="D152" s="1">
        <v>21894.91</v>
      </c>
      <c r="E152" s="1">
        <v>69123</v>
      </c>
      <c r="F152" s="6">
        <v>1.3020893190399723</v>
      </c>
      <c r="G152" t="s">
        <v>250</v>
      </c>
      <c r="H152" t="s">
        <v>126</v>
      </c>
      <c r="I152" t="s">
        <v>298</v>
      </c>
      <c r="J152" s="1">
        <v>32.931730538315755</v>
      </c>
      <c r="K152" s="1">
        <v>-1407.3913499999901</v>
      </c>
      <c r="L152" s="2">
        <v>1.5636931093974044E-2</v>
      </c>
      <c r="M152">
        <v>0.61</v>
      </c>
      <c r="N152">
        <v>1.92</v>
      </c>
      <c r="O152">
        <v>1.62</v>
      </c>
    </row>
    <row r="153" spans="1:15" ht="16" x14ac:dyDescent="0.2">
      <c r="A153" t="s">
        <v>345</v>
      </c>
      <c r="B153" s="1">
        <v>850709.78</v>
      </c>
      <c r="C153" s="1">
        <v>54490.13</v>
      </c>
      <c r="D153" s="1">
        <v>15568.98</v>
      </c>
      <c r="E153" s="1">
        <v>35523</v>
      </c>
      <c r="F153" s="6">
        <v>1.5339394195310081</v>
      </c>
      <c r="G153" t="s">
        <v>250</v>
      </c>
      <c r="H153" t="s">
        <v>123</v>
      </c>
      <c r="I153" t="s">
        <v>346</v>
      </c>
      <c r="J153" s="1">
        <v>23.948140078259158</v>
      </c>
      <c r="K153" s="1">
        <v>-1558.0594000000026</v>
      </c>
      <c r="L153" s="2">
        <v>2.8593424166908809E-2</v>
      </c>
      <c r="M153">
        <v>0.69</v>
      </c>
      <c r="N153">
        <v>0.82</v>
      </c>
      <c r="O153">
        <v>0.91</v>
      </c>
    </row>
    <row r="154" spans="1:15" ht="16" x14ac:dyDescent="0.2">
      <c r="A154" t="s">
        <v>299</v>
      </c>
      <c r="B154" s="1">
        <v>1590894.27</v>
      </c>
      <c r="C154" s="1">
        <v>85859.57</v>
      </c>
      <c r="D154" s="1">
        <v>23855.34</v>
      </c>
      <c r="E154" s="1">
        <v>66177</v>
      </c>
      <c r="F154" s="6">
        <v>1.2974231228372397</v>
      </c>
      <c r="G154" t="s">
        <v>250</v>
      </c>
      <c r="H154" t="s">
        <v>131</v>
      </c>
      <c r="I154" t="s">
        <v>300</v>
      </c>
      <c r="J154" s="1">
        <v>24.039987760097919</v>
      </c>
      <c r="K154" s="1">
        <v>-1656.2036499999815</v>
      </c>
      <c r="L154" s="2">
        <v>1.928968023017098E-2</v>
      </c>
      <c r="M154">
        <v>0.78</v>
      </c>
      <c r="N154">
        <v>1.71</v>
      </c>
      <c r="O154">
        <v>1.66</v>
      </c>
    </row>
    <row r="155" spans="1:15" ht="16" x14ac:dyDescent="0.2">
      <c r="A155" t="s">
        <v>39</v>
      </c>
      <c r="B155" s="1">
        <v>1284620.18</v>
      </c>
      <c r="C155" s="1">
        <v>73240.22</v>
      </c>
      <c r="D155" s="1">
        <v>21416.53</v>
      </c>
      <c r="E155" s="1">
        <v>57076</v>
      </c>
      <c r="F155" s="6">
        <v>1.2832052000840983</v>
      </c>
      <c r="G155" t="s">
        <v>250</v>
      </c>
      <c r="H155" t="s">
        <v>126</v>
      </c>
      <c r="I155" t="s">
        <v>301</v>
      </c>
      <c r="J155" s="1">
        <v>22.50718655827318</v>
      </c>
      <c r="K155" s="1">
        <v>-2239.9361999999983</v>
      </c>
      <c r="L155" s="2">
        <v>3.058341714429583E-2</v>
      </c>
      <c r="M155">
        <v>0.83</v>
      </c>
      <c r="N155">
        <v>2.44</v>
      </c>
      <c r="O155" t="s">
        <v>544</v>
      </c>
    </row>
    <row r="156" spans="1:15" ht="16" x14ac:dyDescent="0.2">
      <c r="A156" t="s">
        <v>349</v>
      </c>
      <c r="B156" s="1">
        <v>707565.22</v>
      </c>
      <c r="C156" s="1">
        <v>43424.93</v>
      </c>
      <c r="D156" s="1">
        <v>10359.41</v>
      </c>
      <c r="E156" s="1">
        <v>29031</v>
      </c>
      <c r="F156" s="6">
        <v>1.495812407426544</v>
      </c>
      <c r="G156" t="s">
        <v>250</v>
      </c>
      <c r="H156" t="s">
        <v>118</v>
      </c>
      <c r="I156" t="s">
        <v>350</v>
      </c>
      <c r="J156" s="1">
        <v>24.37274706348386</v>
      </c>
      <c r="K156" s="1">
        <v>-2380.1818000000044</v>
      </c>
      <c r="L156" s="2">
        <v>5.4811413628070425E-2</v>
      </c>
      <c r="M156">
        <v>0.81</v>
      </c>
      <c r="N156">
        <v>1.66</v>
      </c>
      <c r="O156" t="s">
        <v>544</v>
      </c>
    </row>
    <row r="157" spans="1:15" ht="16" x14ac:dyDescent="0.2">
      <c r="A157" t="s">
        <v>347</v>
      </c>
      <c r="B157" s="1">
        <v>1054084.25</v>
      </c>
      <c r="C157" s="1">
        <v>57217.35</v>
      </c>
      <c r="D157" s="1">
        <v>13826.98</v>
      </c>
      <c r="E157" s="1">
        <v>38056</v>
      </c>
      <c r="F157" s="6">
        <v>1.503504046668068</v>
      </c>
      <c r="G157" t="s">
        <v>250</v>
      </c>
      <c r="H157" t="s">
        <v>122</v>
      </c>
      <c r="I157" t="s">
        <v>348</v>
      </c>
      <c r="J157" s="1">
        <v>27.698240750472987</v>
      </c>
      <c r="K157" s="1">
        <v>-2827.4068000000066</v>
      </c>
      <c r="L157" s="2">
        <v>4.9415200109757036E-2</v>
      </c>
      <c r="M157">
        <v>0.1</v>
      </c>
      <c r="N157">
        <v>1.61</v>
      </c>
      <c r="O157">
        <v>0.87</v>
      </c>
    </row>
    <row r="158" spans="1:15" ht="16" x14ac:dyDescent="0.2">
      <c r="A158" t="s">
        <v>351</v>
      </c>
      <c r="B158" s="1">
        <v>863756.79999999993</v>
      </c>
      <c r="C158" s="1">
        <v>55801.41</v>
      </c>
      <c r="D158" s="1">
        <v>10343.219999999999</v>
      </c>
      <c r="E158" s="1">
        <v>37340</v>
      </c>
      <c r="F158" s="6">
        <v>1.4944137653990359</v>
      </c>
      <c r="G158" t="s">
        <v>250</v>
      </c>
      <c r="H158" t="s">
        <v>123</v>
      </c>
      <c r="I158" t="s">
        <v>352</v>
      </c>
      <c r="J158" s="1">
        <v>23.132212104981253</v>
      </c>
      <c r="K158" s="1">
        <v>-3113.6420000000021</v>
      </c>
      <c r="L158" s="2">
        <v>5.5798625877016401E-2</v>
      </c>
      <c r="M158">
        <v>0.68</v>
      </c>
      <c r="N158">
        <v>0.84</v>
      </c>
      <c r="O158">
        <v>0.84</v>
      </c>
    </row>
    <row r="159" spans="1:15" ht="16" x14ac:dyDescent="0.2">
      <c r="A159" t="s">
        <v>353</v>
      </c>
      <c r="B159" s="1">
        <v>961349.92</v>
      </c>
      <c r="C159" s="1">
        <v>56537.3</v>
      </c>
      <c r="D159" s="1">
        <v>16106.81</v>
      </c>
      <c r="E159" s="1">
        <v>37902</v>
      </c>
      <c r="F159" s="6">
        <v>1.491670624241465</v>
      </c>
      <c r="G159" t="s">
        <v>250</v>
      </c>
      <c r="H159" t="s">
        <v>119</v>
      </c>
      <c r="I159" t="s">
        <v>354</v>
      </c>
      <c r="J159" s="1">
        <v>25.364094770724503</v>
      </c>
      <c r="K159" s="1">
        <v>-3264.4755999999966</v>
      </c>
      <c r="L159" s="2">
        <v>5.7740210445139696E-2</v>
      </c>
      <c r="M159">
        <v>0.04</v>
      </c>
      <c r="N159">
        <v>1.08</v>
      </c>
      <c r="O159">
        <v>1.68</v>
      </c>
    </row>
    <row r="160" spans="1:15" ht="16" x14ac:dyDescent="0.2">
      <c r="A160" t="s">
        <v>355</v>
      </c>
      <c r="B160" s="1">
        <v>869843.62</v>
      </c>
      <c r="C160" s="1">
        <v>60139.09</v>
      </c>
      <c r="D160" s="1">
        <v>14781.93</v>
      </c>
      <c r="E160" s="1">
        <v>41965</v>
      </c>
      <c r="F160" s="6">
        <v>1.4330773263433814</v>
      </c>
      <c r="G160" t="s">
        <v>250</v>
      </c>
      <c r="H160" t="s">
        <v>125</v>
      </c>
      <c r="I160" t="s">
        <v>356</v>
      </c>
      <c r="J160" s="1">
        <v>20.72783557726677</v>
      </c>
      <c r="K160" s="1">
        <v>-6073.2870000000048</v>
      </c>
      <c r="L160" s="2">
        <v>0.10098734450421523</v>
      </c>
      <c r="M160">
        <v>0.84</v>
      </c>
      <c r="N160">
        <v>0.88</v>
      </c>
      <c r="O160">
        <v>0.89</v>
      </c>
    </row>
    <row r="161" spans="1:15" ht="16" x14ac:dyDescent="0.2">
      <c r="A161" t="s">
        <v>302</v>
      </c>
      <c r="B161" s="1">
        <v>1990939.21</v>
      </c>
      <c r="C161" s="1">
        <v>106315.04000000001</v>
      </c>
      <c r="D161" s="1">
        <v>21993.86</v>
      </c>
      <c r="E161" s="1">
        <v>85547</v>
      </c>
      <c r="F161" s="6">
        <v>1.2427676014354683</v>
      </c>
      <c r="G161" t="s">
        <v>250</v>
      </c>
      <c r="H161" t="s">
        <v>126</v>
      </c>
      <c r="I161" t="s">
        <v>303</v>
      </c>
      <c r="J161" s="1">
        <v>23.273045343495387</v>
      </c>
      <c r="K161" s="1">
        <v>-6816.5901499999873</v>
      </c>
      <c r="L161" s="2">
        <v>6.4116893997312019E-2</v>
      </c>
      <c r="M161">
        <v>0.81</v>
      </c>
      <c r="N161">
        <v>2.4900000000000002</v>
      </c>
      <c r="O161">
        <v>2.4700000000000002</v>
      </c>
    </row>
    <row r="162" spans="1:15" ht="16" x14ac:dyDescent="0.2">
      <c r="A162" t="s">
        <v>17</v>
      </c>
      <c r="B162" s="1">
        <v>1412738.8</v>
      </c>
      <c r="C162" s="1">
        <v>69113.009999999995</v>
      </c>
      <c r="D162" s="1">
        <v>21778.93</v>
      </c>
      <c r="E162" s="1">
        <v>58861</v>
      </c>
      <c r="F162" s="6">
        <v>1.1741732216578038</v>
      </c>
      <c r="G162" t="s">
        <v>250</v>
      </c>
      <c r="H162" t="s">
        <v>129</v>
      </c>
      <c r="I162" t="s">
        <v>304</v>
      </c>
      <c r="J162" s="1">
        <v>24.00127079050645</v>
      </c>
      <c r="K162" s="1">
        <v>-8727.7194500000041</v>
      </c>
      <c r="L162" s="2">
        <v>0.12628185995661315</v>
      </c>
      <c r="M162">
        <v>0.85</v>
      </c>
      <c r="N162">
        <v>1.31</v>
      </c>
      <c r="O162">
        <v>2.23</v>
      </c>
    </row>
    <row r="163" spans="1:15" ht="16" x14ac:dyDescent="0.2">
      <c r="A163" t="s">
        <v>305</v>
      </c>
      <c r="B163" s="1">
        <v>2439655.2999999998</v>
      </c>
      <c r="C163" s="1">
        <v>77511.070000000007</v>
      </c>
      <c r="D163" s="1">
        <v>21987.82</v>
      </c>
      <c r="E163" s="1">
        <v>68096</v>
      </c>
      <c r="F163" s="6">
        <v>1.1382617187500002</v>
      </c>
      <c r="G163" t="s">
        <v>250</v>
      </c>
      <c r="H163" t="s">
        <v>126</v>
      </c>
      <c r="I163" t="s">
        <v>306</v>
      </c>
      <c r="J163" s="1">
        <v>35.826704945958646</v>
      </c>
      <c r="K163" s="1">
        <v>-12542.485199999983</v>
      </c>
      <c r="L163" s="2">
        <v>0.16181540520599164</v>
      </c>
      <c r="M163">
        <v>0.87</v>
      </c>
      <c r="N163">
        <v>2.7</v>
      </c>
      <c r="O163" t="s">
        <v>544</v>
      </c>
    </row>
    <row r="164" spans="1:15" ht="16" x14ac:dyDescent="0.2">
      <c r="A164" t="s">
        <v>308</v>
      </c>
      <c r="B164" s="1">
        <v>1499991.97</v>
      </c>
      <c r="C164" s="1">
        <v>63370.69</v>
      </c>
      <c r="D164" s="1">
        <v>16952.97</v>
      </c>
      <c r="E164" s="1">
        <v>59833</v>
      </c>
      <c r="F164" s="6">
        <v>1.0591260675546939</v>
      </c>
      <c r="G164" t="s">
        <v>250</v>
      </c>
      <c r="H164" t="s">
        <v>126</v>
      </c>
      <c r="I164" t="s">
        <v>309</v>
      </c>
      <c r="J164" s="1">
        <v>25.069643340631423</v>
      </c>
      <c r="K164" s="1">
        <v>-15755.460849999998</v>
      </c>
      <c r="L164" s="2">
        <v>0.24862378569651045</v>
      </c>
      <c r="M164">
        <v>0.88</v>
      </c>
      <c r="N164">
        <v>3.17</v>
      </c>
      <c r="O164">
        <v>2.13</v>
      </c>
    </row>
    <row r="165" spans="1:15" ht="16" x14ac:dyDescent="0.2">
      <c r="A165" t="s">
        <v>29</v>
      </c>
      <c r="B165" s="1">
        <v>1924848.33</v>
      </c>
      <c r="C165" s="1">
        <v>76040.740000000005</v>
      </c>
      <c r="D165" s="1">
        <v>26521.65</v>
      </c>
      <c r="E165" s="1">
        <v>70712</v>
      </c>
      <c r="F165" s="6">
        <v>1.0753583550175361</v>
      </c>
      <c r="G165" t="s">
        <v>250</v>
      </c>
      <c r="H165" t="s">
        <v>129</v>
      </c>
      <c r="I165" t="s">
        <v>307</v>
      </c>
      <c r="J165" s="1">
        <v>27.220957263265078</v>
      </c>
      <c r="K165" s="1">
        <v>-17472.344399999984</v>
      </c>
      <c r="L165" s="2">
        <v>0.22977609633993543</v>
      </c>
      <c r="M165">
        <v>0.85</v>
      </c>
      <c r="N165">
        <v>1.38</v>
      </c>
      <c r="O165">
        <v>2.38</v>
      </c>
    </row>
    <row r="167" spans="1:15" ht="19" x14ac:dyDescent="0.25">
      <c r="A167" s="4" t="s">
        <v>538</v>
      </c>
      <c r="F167" t="e">
        <f>CORREL(F108:F165,#REF!)</f>
        <v>#REF!</v>
      </c>
    </row>
    <row r="169" spans="1:15" x14ac:dyDescent="0.2">
      <c r="A169" t="s">
        <v>0</v>
      </c>
      <c r="B169" s="3" t="s">
        <v>1</v>
      </c>
      <c r="C169" s="3" t="s">
        <v>2</v>
      </c>
      <c r="D169" s="3" t="s">
        <v>3</v>
      </c>
      <c r="E169" s="3" t="s">
        <v>4</v>
      </c>
      <c r="F169" s="3" t="s">
        <v>5</v>
      </c>
      <c r="G169" t="s">
        <v>6</v>
      </c>
      <c r="H169" t="s">
        <v>7</v>
      </c>
      <c r="I169" t="s">
        <v>8</v>
      </c>
      <c r="J169" s="3" t="s">
        <v>9</v>
      </c>
      <c r="K169" t="s">
        <v>10</v>
      </c>
      <c r="L169" t="s">
        <v>11</v>
      </c>
    </row>
    <row r="170" spans="1:15" ht="16" x14ac:dyDescent="0.2">
      <c r="A170" t="s">
        <v>357</v>
      </c>
      <c r="B170" s="1">
        <v>898196.54</v>
      </c>
      <c r="C170" s="1">
        <v>58590.83</v>
      </c>
      <c r="D170" s="1">
        <v>9742.69</v>
      </c>
      <c r="E170" s="1">
        <v>24201</v>
      </c>
      <c r="F170" s="6">
        <v>2.4210086360067766</v>
      </c>
      <c r="G170" t="s">
        <v>358</v>
      </c>
      <c r="H170" t="s">
        <v>130</v>
      </c>
      <c r="I170" t="s">
        <v>359</v>
      </c>
      <c r="J170" s="1">
        <v>37.114025866699727</v>
      </c>
      <c r="K170" s="1">
        <v>20353.274201000004</v>
      </c>
      <c r="L170" s="2">
        <v>0.34737985792315973</v>
      </c>
      <c r="M170">
        <v>0.82</v>
      </c>
      <c r="N170">
        <v>0.81</v>
      </c>
      <c r="O170">
        <v>0.79</v>
      </c>
    </row>
    <row r="171" spans="1:15" ht="16" x14ac:dyDescent="0.2">
      <c r="A171" t="s">
        <v>37</v>
      </c>
      <c r="B171" s="1">
        <v>548531.97</v>
      </c>
      <c r="C171" s="1">
        <v>64822.46</v>
      </c>
      <c r="D171" s="1">
        <v>11866.85</v>
      </c>
      <c r="E171" s="1">
        <v>28041</v>
      </c>
      <c r="F171" s="6">
        <v>2.3117028636639207</v>
      </c>
      <c r="G171" t="s">
        <v>358</v>
      </c>
      <c r="H171" t="s">
        <v>125</v>
      </c>
      <c r="I171" t="s">
        <v>418</v>
      </c>
      <c r="J171" s="1">
        <v>19.561783459933668</v>
      </c>
      <c r="K171" s="1">
        <v>14722.698899000001</v>
      </c>
      <c r="L171" s="2">
        <v>0.22712342140363079</v>
      </c>
      <c r="M171">
        <v>0.92</v>
      </c>
      <c r="N171">
        <v>0.85</v>
      </c>
      <c r="O171">
        <v>0.93</v>
      </c>
    </row>
    <row r="172" spans="1:15" ht="16" x14ac:dyDescent="0.2">
      <c r="A172" t="s">
        <v>360</v>
      </c>
      <c r="B172" s="1">
        <v>1341074.47</v>
      </c>
      <c r="C172" s="1">
        <v>70683.210000000006</v>
      </c>
      <c r="D172" s="1">
        <v>16703.650000000001</v>
      </c>
      <c r="E172" s="1">
        <v>36958</v>
      </c>
      <c r="F172" s="6">
        <v>1.9125280047621627</v>
      </c>
      <c r="G172" t="s">
        <v>358</v>
      </c>
      <c r="H172" t="s">
        <v>125</v>
      </c>
      <c r="I172" t="s">
        <v>361</v>
      </c>
      <c r="J172" s="1">
        <v>36.286445965690781</v>
      </c>
      <c r="K172" s="1">
        <v>12289.606958000011</v>
      </c>
      <c r="L172" s="2">
        <v>0.17386882907553308</v>
      </c>
      <c r="M172">
        <v>0.77</v>
      </c>
      <c r="N172">
        <v>0.86</v>
      </c>
      <c r="O172">
        <v>1.69</v>
      </c>
    </row>
    <row r="173" spans="1:15" ht="16" x14ac:dyDescent="0.2">
      <c r="A173" t="s">
        <v>416</v>
      </c>
      <c r="B173" s="1">
        <v>816406.79</v>
      </c>
      <c r="C173" s="1">
        <v>40953.71</v>
      </c>
      <c r="D173" s="1">
        <v>9209.94</v>
      </c>
      <c r="E173" s="1">
        <v>16611</v>
      </c>
      <c r="F173" s="6">
        <v>2.4654572271386432</v>
      </c>
      <c r="G173" t="s">
        <v>358</v>
      </c>
      <c r="H173" t="s">
        <v>130</v>
      </c>
      <c r="I173" t="s">
        <v>417</v>
      </c>
      <c r="J173" s="1">
        <v>49.148563602432127</v>
      </c>
      <c r="K173" s="1">
        <v>11275.484129000002</v>
      </c>
      <c r="L173" s="2">
        <v>0.27532265401596101</v>
      </c>
      <c r="M173">
        <v>0.8</v>
      </c>
      <c r="N173" t="s">
        <v>544</v>
      </c>
      <c r="O173">
        <v>0.71</v>
      </c>
    </row>
    <row r="174" spans="1:15" ht="16" x14ac:dyDescent="0.2">
      <c r="A174" t="s">
        <v>362</v>
      </c>
      <c r="B174" s="1">
        <v>1035639.0499999999</v>
      </c>
      <c r="C174" s="1">
        <v>66891.399999999994</v>
      </c>
      <c r="D174" s="1">
        <v>16401.68</v>
      </c>
      <c r="E174" s="1">
        <v>36054</v>
      </c>
      <c r="F174" s="6">
        <v>1.8553114772286015</v>
      </c>
      <c r="G174" t="s">
        <v>358</v>
      </c>
      <c r="H174" t="s">
        <v>131</v>
      </c>
      <c r="I174" t="s">
        <v>363</v>
      </c>
      <c r="J174" s="1">
        <v>28.724664392300436</v>
      </c>
      <c r="K174" s="1">
        <v>9926.1160540000001</v>
      </c>
      <c r="L174" s="2">
        <v>0.1483915130196109</v>
      </c>
      <c r="M174">
        <v>0.87</v>
      </c>
      <c r="N174">
        <v>1.63</v>
      </c>
      <c r="O174">
        <v>0.9</v>
      </c>
    </row>
    <row r="175" spans="1:15" ht="16" x14ac:dyDescent="0.2">
      <c r="A175" t="s">
        <v>364</v>
      </c>
      <c r="B175" s="1">
        <v>1336326.83</v>
      </c>
      <c r="C175" s="1">
        <v>78897.5</v>
      </c>
      <c r="D175" s="1">
        <v>10091.880000000001</v>
      </c>
      <c r="E175" s="1">
        <v>44382</v>
      </c>
      <c r="F175" s="6">
        <v>1.7776914064260285</v>
      </c>
      <c r="G175" t="s">
        <v>358</v>
      </c>
      <c r="H175" t="s">
        <v>118</v>
      </c>
      <c r="I175" t="s">
        <v>365</v>
      </c>
      <c r="J175" s="1">
        <v>30.109657744130505</v>
      </c>
      <c r="K175" s="1">
        <v>8773.9843820000006</v>
      </c>
      <c r="L175" s="2">
        <v>0.111207381501315</v>
      </c>
      <c r="M175">
        <v>0.45</v>
      </c>
      <c r="N175">
        <v>1.49</v>
      </c>
      <c r="O175">
        <v>0.78</v>
      </c>
    </row>
    <row r="176" spans="1:15" ht="16" x14ac:dyDescent="0.2">
      <c r="A176" t="s">
        <v>419</v>
      </c>
      <c r="B176" s="1">
        <v>607819.96</v>
      </c>
      <c r="C176" s="1">
        <v>58502.720000000001</v>
      </c>
      <c r="D176" s="1">
        <v>11995.34</v>
      </c>
      <c r="E176" s="1">
        <v>28332</v>
      </c>
      <c r="F176" s="6">
        <v>2.0648990540731327</v>
      </c>
      <c r="G176" t="s">
        <v>358</v>
      </c>
      <c r="H176" t="s">
        <v>119</v>
      </c>
      <c r="I176" t="s">
        <v>420</v>
      </c>
      <c r="J176" s="1">
        <v>21.453478751941265</v>
      </c>
      <c r="K176" s="1">
        <v>7883.0405479999936</v>
      </c>
      <c r="L176" s="2">
        <v>0.13474656474092134</v>
      </c>
      <c r="M176">
        <v>0.89</v>
      </c>
      <c r="N176">
        <v>0.88</v>
      </c>
      <c r="O176">
        <v>1.78</v>
      </c>
    </row>
    <row r="177" spans="1:15" ht="16" x14ac:dyDescent="0.2">
      <c r="A177" t="s">
        <v>24</v>
      </c>
      <c r="B177" s="1">
        <v>946843.62</v>
      </c>
      <c r="C177" s="1">
        <v>79484.09</v>
      </c>
      <c r="D177" s="1">
        <v>15677.619999999999</v>
      </c>
      <c r="E177" s="1">
        <v>46145</v>
      </c>
      <c r="F177" s="6">
        <v>1.7224854263733882</v>
      </c>
      <c r="G177" t="s">
        <v>358</v>
      </c>
      <c r="H177" t="s">
        <v>206</v>
      </c>
      <c r="I177" t="s">
        <v>366</v>
      </c>
      <c r="J177" s="1">
        <v>20.518877884927946</v>
      </c>
      <c r="K177" s="1">
        <v>6575.0361450000019</v>
      </c>
      <c r="L177" s="2">
        <v>8.2721411857391861E-2</v>
      </c>
      <c r="M177">
        <v>0.83</v>
      </c>
      <c r="N177">
        <v>1.53</v>
      </c>
      <c r="O177">
        <v>1.59</v>
      </c>
    </row>
    <row r="178" spans="1:15" ht="16" x14ac:dyDescent="0.2">
      <c r="A178" t="s">
        <v>421</v>
      </c>
      <c r="B178" s="1">
        <v>737576.93</v>
      </c>
      <c r="C178" s="1">
        <v>45559.360000000001</v>
      </c>
      <c r="D178" s="1">
        <v>11696.23</v>
      </c>
      <c r="E178" s="1">
        <v>22133</v>
      </c>
      <c r="F178" s="6">
        <v>2.0584358198165633</v>
      </c>
      <c r="G178" t="s">
        <v>358</v>
      </c>
      <c r="H178" t="s">
        <v>131</v>
      </c>
      <c r="I178" t="s">
        <v>422</v>
      </c>
      <c r="J178" s="1">
        <v>33.324760764469346</v>
      </c>
      <c r="K178" s="1">
        <v>6015.1920869999949</v>
      </c>
      <c r="L178" s="2">
        <v>0.13202977581335634</v>
      </c>
      <c r="M178">
        <v>0.86</v>
      </c>
      <c r="N178">
        <v>0.85</v>
      </c>
      <c r="O178">
        <v>0.77</v>
      </c>
    </row>
    <row r="179" spans="1:15" ht="16" x14ac:dyDescent="0.2">
      <c r="A179" t="s">
        <v>367</v>
      </c>
      <c r="B179" s="1">
        <v>1299868.83</v>
      </c>
      <c r="C179" s="1">
        <v>67703.490000000005</v>
      </c>
      <c r="D179" s="1">
        <v>24018.01</v>
      </c>
      <c r="E179" s="1">
        <v>39636</v>
      </c>
      <c r="F179" s="6">
        <v>1.7081312443233425</v>
      </c>
      <c r="G179" t="s">
        <v>358</v>
      </c>
      <c r="H179" t="s">
        <v>124</v>
      </c>
      <c r="I179" t="s">
        <v>368</v>
      </c>
      <c r="J179" s="1">
        <v>32.795156675749318</v>
      </c>
      <c r="K179" s="1">
        <v>5078.6496360000065</v>
      </c>
      <c r="L179" s="2">
        <v>7.5013114331329248E-2</v>
      </c>
      <c r="M179">
        <v>0.84</v>
      </c>
      <c r="N179">
        <v>0.9</v>
      </c>
      <c r="O179">
        <v>1.7</v>
      </c>
    </row>
    <row r="180" spans="1:15" ht="16" x14ac:dyDescent="0.2">
      <c r="A180" t="s">
        <v>369</v>
      </c>
      <c r="B180" s="1">
        <v>1212481.74</v>
      </c>
      <c r="C180" s="1">
        <v>67182.09</v>
      </c>
      <c r="D180" s="1">
        <v>22114.63</v>
      </c>
      <c r="E180" s="1">
        <v>40170</v>
      </c>
      <c r="F180" s="6">
        <v>1.672444361463779</v>
      </c>
      <c r="G180" t="s">
        <v>358</v>
      </c>
      <c r="H180" t="s">
        <v>127</v>
      </c>
      <c r="I180" t="s">
        <v>370</v>
      </c>
      <c r="J180" s="1">
        <v>30.183762509335324</v>
      </c>
      <c r="K180" s="1">
        <v>3713.5301700000032</v>
      </c>
      <c r="L180" s="2">
        <v>5.5275597558813713E-2</v>
      </c>
      <c r="M180">
        <v>0.9</v>
      </c>
      <c r="N180">
        <v>1.4</v>
      </c>
      <c r="O180">
        <v>0.85</v>
      </c>
    </row>
    <row r="181" spans="1:15" ht="16" x14ac:dyDescent="0.2">
      <c r="A181" t="s">
        <v>423</v>
      </c>
      <c r="B181" s="1">
        <v>762719.72</v>
      </c>
      <c r="C181" s="1">
        <v>56554.82</v>
      </c>
      <c r="D181" s="1">
        <v>11955.28</v>
      </c>
      <c r="E181" s="1">
        <v>29917</v>
      </c>
      <c r="F181" s="6">
        <v>1.8903907477354012</v>
      </c>
      <c r="G181" t="s">
        <v>358</v>
      </c>
      <c r="H181" t="s">
        <v>123</v>
      </c>
      <c r="I181" t="s">
        <v>424</v>
      </c>
      <c r="J181" s="1">
        <v>25.494525520607013</v>
      </c>
      <c r="K181" s="1">
        <v>3103.2828629999949</v>
      </c>
      <c r="L181" s="2">
        <v>5.4872119882973636E-2</v>
      </c>
      <c r="M181">
        <v>0.19</v>
      </c>
      <c r="N181">
        <v>0.63</v>
      </c>
      <c r="O181">
        <v>0.75</v>
      </c>
    </row>
    <row r="182" spans="1:15" ht="16" x14ac:dyDescent="0.2">
      <c r="A182" t="s">
        <v>371</v>
      </c>
      <c r="B182" s="1">
        <v>1326779.8600000001</v>
      </c>
      <c r="C182" s="1">
        <v>73369.86</v>
      </c>
      <c r="D182" s="1">
        <v>21159.55</v>
      </c>
      <c r="E182" s="1">
        <v>46044</v>
      </c>
      <c r="F182" s="6">
        <v>1.5934727651811311</v>
      </c>
      <c r="G182" t="s">
        <v>358</v>
      </c>
      <c r="H182" t="s">
        <v>132</v>
      </c>
      <c r="I182" t="s">
        <v>372</v>
      </c>
      <c r="J182" s="1">
        <v>28.815477803839809</v>
      </c>
      <c r="K182" s="1">
        <v>620.38604400000463</v>
      </c>
      <c r="L182" s="2">
        <v>8.455598034397294E-3</v>
      </c>
      <c r="M182">
        <v>0.86</v>
      </c>
      <c r="N182">
        <v>0.84</v>
      </c>
      <c r="O182">
        <v>1.69</v>
      </c>
    </row>
    <row r="183" spans="1:15" ht="16" x14ac:dyDescent="0.2">
      <c r="A183" t="s">
        <v>425</v>
      </c>
      <c r="B183" s="1">
        <v>601172.15</v>
      </c>
      <c r="C183" s="1">
        <v>51594.42</v>
      </c>
      <c r="D183" s="1">
        <v>11347.9</v>
      </c>
      <c r="E183" s="1">
        <v>28853</v>
      </c>
      <c r="F183" s="6">
        <v>1.7881821647662288</v>
      </c>
      <c r="G183" t="s">
        <v>358</v>
      </c>
      <c r="H183" t="s">
        <v>125</v>
      </c>
      <c r="I183" t="s">
        <v>426</v>
      </c>
      <c r="J183" s="1">
        <v>20.835689529684956</v>
      </c>
      <c r="K183" s="1">
        <v>43.890166999998598</v>
      </c>
      <c r="L183" s="2">
        <v>8.5067662355732651E-4</v>
      </c>
      <c r="M183">
        <v>0.85</v>
      </c>
      <c r="N183" t="s">
        <v>544</v>
      </c>
      <c r="O183">
        <v>1.66</v>
      </c>
    </row>
    <row r="184" spans="1:15" ht="16" x14ac:dyDescent="0.2">
      <c r="A184" t="s">
        <v>427</v>
      </c>
      <c r="B184" s="1">
        <v>748242.6</v>
      </c>
      <c r="C184" s="1">
        <v>50633.94</v>
      </c>
      <c r="D184" s="1">
        <v>12120.880000000001</v>
      </c>
      <c r="E184" s="1">
        <v>28331</v>
      </c>
      <c r="F184" s="6">
        <v>1.7872274187286012</v>
      </c>
      <c r="G184" t="s">
        <v>358</v>
      </c>
      <c r="H184" t="s">
        <v>119</v>
      </c>
      <c r="I184" t="s">
        <v>428</v>
      </c>
      <c r="J184" s="1">
        <v>26.410737354840986</v>
      </c>
      <c r="K184" s="1">
        <v>16.047209000000379</v>
      </c>
      <c r="L184" s="2">
        <v>3.1692593939954857E-4</v>
      </c>
      <c r="M184">
        <v>0.82</v>
      </c>
      <c r="N184">
        <v>0.82</v>
      </c>
      <c r="O184">
        <v>0.89</v>
      </c>
    </row>
    <row r="185" spans="1:15" ht="16" x14ac:dyDescent="0.2">
      <c r="A185" t="s">
        <v>429</v>
      </c>
      <c r="B185" s="1">
        <v>788031.20000000007</v>
      </c>
      <c r="C185" s="1">
        <v>61300.56</v>
      </c>
      <c r="D185" s="1">
        <v>11915.57</v>
      </c>
      <c r="E185" s="1">
        <v>34321</v>
      </c>
      <c r="F185" s="6">
        <v>1.7860948107572623</v>
      </c>
      <c r="G185" t="s">
        <v>358</v>
      </c>
      <c r="H185" t="s">
        <v>127</v>
      </c>
      <c r="I185" t="s">
        <v>430</v>
      </c>
      <c r="J185" s="1">
        <v>22.960613035750708</v>
      </c>
      <c r="K185" s="1">
        <v>0</v>
      </c>
      <c r="L185" s="2">
        <v>0</v>
      </c>
      <c r="M185">
        <v>0.86</v>
      </c>
      <c r="N185">
        <v>1.56</v>
      </c>
      <c r="O185">
        <v>0.86</v>
      </c>
    </row>
    <row r="186" spans="1:15" ht="16" x14ac:dyDescent="0.2">
      <c r="A186" t="s">
        <v>431</v>
      </c>
      <c r="B186" s="1">
        <v>694495.53</v>
      </c>
      <c r="C186" s="1">
        <v>50496.34</v>
      </c>
      <c r="D186" s="1">
        <v>10704.16</v>
      </c>
      <c r="E186" s="1">
        <v>28924</v>
      </c>
      <c r="F186" s="6">
        <v>1.745828377817729</v>
      </c>
      <c r="G186" t="s">
        <v>358</v>
      </c>
      <c r="H186" t="s">
        <v>129</v>
      </c>
      <c r="I186" t="s">
        <v>432</v>
      </c>
      <c r="J186" s="1">
        <v>24.011047227216153</v>
      </c>
      <c r="K186" s="1">
        <v>0</v>
      </c>
      <c r="L186" s="2">
        <v>0</v>
      </c>
      <c r="M186">
        <v>0.72</v>
      </c>
      <c r="N186">
        <v>1</v>
      </c>
      <c r="O186">
        <v>0.84</v>
      </c>
    </row>
    <row r="187" spans="1:15" ht="16" x14ac:dyDescent="0.2">
      <c r="A187" t="s">
        <v>433</v>
      </c>
      <c r="B187" s="1">
        <v>590891.1</v>
      </c>
      <c r="C187" s="1">
        <v>51657.35</v>
      </c>
      <c r="D187" s="1">
        <v>12531.41</v>
      </c>
      <c r="E187" s="1">
        <v>29647</v>
      </c>
      <c r="F187" s="6">
        <v>1.7424140722501433</v>
      </c>
      <c r="G187" t="s">
        <v>358</v>
      </c>
      <c r="H187" t="s">
        <v>206</v>
      </c>
      <c r="I187" t="s">
        <v>434</v>
      </c>
      <c r="J187" s="1">
        <v>19.930890140655041</v>
      </c>
      <c r="K187" s="1">
        <v>0</v>
      </c>
      <c r="L187" s="2">
        <v>0</v>
      </c>
      <c r="M187">
        <v>0.87</v>
      </c>
      <c r="N187">
        <v>0.87</v>
      </c>
      <c r="O187">
        <v>0.9</v>
      </c>
    </row>
    <row r="188" spans="1:15" ht="16" x14ac:dyDescent="0.2">
      <c r="A188" t="s">
        <v>435</v>
      </c>
      <c r="B188" s="1">
        <v>551246.71</v>
      </c>
      <c r="C188" s="1">
        <v>37824.590000000004</v>
      </c>
      <c r="D188" s="1">
        <v>7945.68</v>
      </c>
      <c r="E188" s="1">
        <v>21792</v>
      </c>
      <c r="F188" s="6">
        <v>1.7357098935389135</v>
      </c>
      <c r="G188" t="s">
        <v>358</v>
      </c>
      <c r="H188" t="s">
        <v>127</v>
      </c>
      <c r="I188" t="s">
        <v>436</v>
      </c>
      <c r="J188" s="1">
        <v>25.295829203377384</v>
      </c>
      <c r="K188" s="1">
        <v>0</v>
      </c>
      <c r="L188" s="2">
        <v>0</v>
      </c>
      <c r="M188">
        <v>0.82</v>
      </c>
      <c r="N188">
        <v>0.39</v>
      </c>
      <c r="O188" t="s">
        <v>544</v>
      </c>
    </row>
    <row r="189" spans="1:15" ht="16" x14ac:dyDescent="0.2">
      <c r="A189" t="s">
        <v>437</v>
      </c>
      <c r="B189" s="1">
        <v>643264.53</v>
      </c>
      <c r="C189" s="1">
        <v>55017.599999999999</v>
      </c>
      <c r="D189" s="1">
        <v>13508.58</v>
      </c>
      <c r="E189" s="1">
        <v>32842</v>
      </c>
      <c r="F189" s="6">
        <v>1.6752207539126727</v>
      </c>
      <c r="G189" t="s">
        <v>358</v>
      </c>
      <c r="H189" t="s">
        <v>124</v>
      </c>
      <c r="I189" t="s">
        <v>368</v>
      </c>
      <c r="J189" s="1">
        <v>19.586643018086598</v>
      </c>
      <c r="K189" s="1">
        <v>0</v>
      </c>
      <c r="L189" s="2">
        <v>0</v>
      </c>
      <c r="M189">
        <v>0.88</v>
      </c>
      <c r="N189">
        <v>0.89</v>
      </c>
      <c r="O189">
        <v>0.7</v>
      </c>
    </row>
    <row r="190" spans="1:15" ht="16" x14ac:dyDescent="0.2">
      <c r="A190" t="s">
        <v>438</v>
      </c>
      <c r="B190" s="1">
        <v>713014.73</v>
      </c>
      <c r="C190" s="1">
        <v>53333.48</v>
      </c>
      <c r="D190" s="1">
        <v>15548.59</v>
      </c>
      <c r="E190" s="1">
        <v>32092</v>
      </c>
      <c r="F190" s="6">
        <v>1.6618933067431136</v>
      </c>
      <c r="G190" t="s">
        <v>358</v>
      </c>
      <c r="H190" t="s">
        <v>127</v>
      </c>
      <c r="I190" t="s">
        <v>439</v>
      </c>
      <c r="J190" s="1">
        <v>22.217834039636045</v>
      </c>
      <c r="K190" s="1">
        <v>0</v>
      </c>
      <c r="L190" s="2">
        <v>0</v>
      </c>
      <c r="M190">
        <v>0.13</v>
      </c>
      <c r="N190">
        <v>2.74</v>
      </c>
      <c r="O190" t="s">
        <v>544</v>
      </c>
    </row>
    <row r="191" spans="1:15" ht="16" x14ac:dyDescent="0.2">
      <c r="A191" t="s">
        <v>440</v>
      </c>
      <c r="B191" s="1">
        <v>617239.34</v>
      </c>
      <c r="C191" s="1">
        <v>45631.839999999997</v>
      </c>
      <c r="D191" s="1">
        <v>11857.9</v>
      </c>
      <c r="E191" s="1">
        <v>28081</v>
      </c>
      <c r="F191" s="6">
        <v>1.625007656422492</v>
      </c>
      <c r="G191" t="s">
        <v>358</v>
      </c>
      <c r="H191" t="s">
        <v>128</v>
      </c>
      <c r="I191" t="s">
        <v>441</v>
      </c>
      <c r="J191" s="1">
        <v>21.980675189629999</v>
      </c>
      <c r="K191" s="1">
        <v>0</v>
      </c>
      <c r="L191" s="2">
        <v>0</v>
      </c>
      <c r="M191">
        <v>0.73</v>
      </c>
      <c r="N191">
        <v>0.89</v>
      </c>
      <c r="O191" t="s">
        <v>544</v>
      </c>
    </row>
    <row r="192" spans="1:15" ht="16" x14ac:dyDescent="0.2">
      <c r="A192" t="s">
        <v>442</v>
      </c>
      <c r="B192" s="1">
        <v>823170.43</v>
      </c>
      <c r="C192" s="1">
        <v>44771.18</v>
      </c>
      <c r="D192" s="1">
        <v>7771.14</v>
      </c>
      <c r="E192" s="1">
        <v>28111</v>
      </c>
      <c r="F192" s="6">
        <v>1.5926569670235851</v>
      </c>
      <c r="G192" t="s">
        <v>358</v>
      </c>
      <c r="H192" t="s">
        <v>125</v>
      </c>
      <c r="I192" t="s">
        <v>443</v>
      </c>
      <c r="J192" s="1">
        <v>29.282858311692934</v>
      </c>
      <c r="K192" s="1">
        <v>0</v>
      </c>
      <c r="L192" s="2">
        <v>0</v>
      </c>
      <c r="M192">
        <v>0.91</v>
      </c>
      <c r="N192" t="s">
        <v>544</v>
      </c>
      <c r="O192">
        <v>0.88</v>
      </c>
    </row>
    <row r="193" spans="1:15" ht="16" x14ac:dyDescent="0.2">
      <c r="A193" t="s">
        <v>16</v>
      </c>
      <c r="B193" s="1">
        <v>610019.94000000006</v>
      </c>
      <c r="C193" s="1">
        <v>55525.42</v>
      </c>
      <c r="D193" s="1">
        <v>9060.39</v>
      </c>
      <c r="E193" s="1">
        <v>35146</v>
      </c>
      <c r="F193" s="6">
        <v>1.5798503385876059</v>
      </c>
      <c r="G193" t="s">
        <v>358</v>
      </c>
      <c r="H193" t="s">
        <v>128</v>
      </c>
      <c r="I193" t="s">
        <v>444</v>
      </c>
      <c r="J193" s="1">
        <v>17.356738746941332</v>
      </c>
      <c r="K193" s="1">
        <v>0</v>
      </c>
      <c r="L193" s="2">
        <v>0</v>
      </c>
      <c r="M193">
        <v>0.92</v>
      </c>
      <c r="N193">
        <v>0.77</v>
      </c>
      <c r="O193">
        <v>0.67</v>
      </c>
    </row>
    <row r="194" spans="1:15" ht="16" x14ac:dyDescent="0.2">
      <c r="A194" t="s">
        <v>373</v>
      </c>
      <c r="B194" s="1">
        <v>897243.2</v>
      </c>
      <c r="C194" s="1">
        <v>70119.27</v>
      </c>
      <c r="D194" s="1">
        <v>25418.89</v>
      </c>
      <c r="E194" s="1">
        <v>44761</v>
      </c>
      <c r="F194" s="6">
        <v>1.5665259936105091</v>
      </c>
      <c r="G194" t="s">
        <v>358</v>
      </c>
      <c r="H194" t="s">
        <v>132</v>
      </c>
      <c r="I194" t="s">
        <v>374</v>
      </c>
      <c r="J194" s="1">
        <v>20.045200062554454</v>
      </c>
      <c r="K194" s="1">
        <v>0</v>
      </c>
      <c r="L194" s="2">
        <v>0</v>
      </c>
      <c r="M194">
        <v>0.65</v>
      </c>
      <c r="N194">
        <v>1.77</v>
      </c>
      <c r="O194">
        <v>1.74</v>
      </c>
    </row>
    <row r="195" spans="1:15" ht="16" x14ac:dyDescent="0.2">
      <c r="A195" t="s">
        <v>445</v>
      </c>
      <c r="B195" s="1">
        <v>705965.3</v>
      </c>
      <c r="C195" s="1">
        <v>40988.589999999997</v>
      </c>
      <c r="D195" s="1">
        <v>8962.7000000000007</v>
      </c>
      <c r="E195" s="1">
        <v>26417</v>
      </c>
      <c r="F195" s="6">
        <v>1.5515989703599953</v>
      </c>
      <c r="G195" t="s">
        <v>358</v>
      </c>
      <c r="H195" t="s">
        <v>129</v>
      </c>
      <c r="I195" t="s">
        <v>446</v>
      </c>
      <c r="J195" s="1">
        <v>26.723901275693684</v>
      </c>
      <c r="K195" s="1">
        <v>0</v>
      </c>
      <c r="L195" s="2">
        <v>0</v>
      </c>
      <c r="M195">
        <v>0.7</v>
      </c>
      <c r="N195">
        <v>0.78</v>
      </c>
      <c r="O195" t="s">
        <v>544</v>
      </c>
    </row>
    <row r="196" spans="1:15" ht="16" x14ac:dyDescent="0.2">
      <c r="A196" t="s">
        <v>447</v>
      </c>
      <c r="B196" s="1">
        <v>795743.71</v>
      </c>
      <c r="C196" s="1">
        <v>68914.36</v>
      </c>
      <c r="D196" s="1">
        <v>14859.23</v>
      </c>
      <c r="E196" s="1">
        <v>44578</v>
      </c>
      <c r="F196" s="6">
        <v>1.5459275875992642</v>
      </c>
      <c r="G196" t="s">
        <v>358</v>
      </c>
      <c r="H196" t="s">
        <v>127</v>
      </c>
      <c r="I196" t="s">
        <v>448</v>
      </c>
      <c r="J196" s="1">
        <v>17.850592444703665</v>
      </c>
      <c r="K196" s="1">
        <v>0</v>
      </c>
      <c r="L196" s="2">
        <v>0</v>
      </c>
      <c r="M196">
        <v>0.75</v>
      </c>
      <c r="N196">
        <v>1.24</v>
      </c>
      <c r="O196">
        <v>0.68</v>
      </c>
    </row>
    <row r="197" spans="1:15" ht="16" x14ac:dyDescent="0.2">
      <c r="A197" t="s">
        <v>375</v>
      </c>
      <c r="B197" s="1">
        <v>1317744.42</v>
      </c>
      <c r="C197" s="1">
        <v>78815.37</v>
      </c>
      <c r="D197" s="1">
        <v>17779.77</v>
      </c>
      <c r="E197" s="1">
        <v>51064</v>
      </c>
      <c r="F197" s="6">
        <v>1.5434625176249412</v>
      </c>
      <c r="G197" t="s">
        <v>358</v>
      </c>
      <c r="H197" t="s">
        <v>127</v>
      </c>
      <c r="I197" t="s">
        <v>376</v>
      </c>
      <c r="J197" s="1">
        <v>25.805742205859314</v>
      </c>
      <c r="K197" s="1">
        <v>0</v>
      </c>
      <c r="L197" s="2">
        <v>0</v>
      </c>
      <c r="M197">
        <v>0.84</v>
      </c>
      <c r="N197">
        <v>1.78</v>
      </c>
      <c r="O197">
        <v>1.7</v>
      </c>
    </row>
    <row r="198" spans="1:15" ht="16" x14ac:dyDescent="0.2">
      <c r="A198" t="s">
        <v>377</v>
      </c>
      <c r="B198" s="1">
        <v>948419.72</v>
      </c>
      <c r="C198" s="1">
        <v>74468.320000000007</v>
      </c>
      <c r="D198" s="1">
        <v>15369.95</v>
      </c>
      <c r="E198" s="1">
        <v>48467</v>
      </c>
      <c r="F198" s="6">
        <v>1.5364747147543691</v>
      </c>
      <c r="G198" t="s">
        <v>358</v>
      </c>
      <c r="H198" t="s">
        <v>124</v>
      </c>
      <c r="I198" t="s">
        <v>378</v>
      </c>
      <c r="J198" s="1">
        <v>19.568360327645614</v>
      </c>
      <c r="K198" s="1">
        <v>0</v>
      </c>
      <c r="L198" s="2">
        <v>0</v>
      </c>
      <c r="M198">
        <v>0.63</v>
      </c>
      <c r="N198">
        <v>0.9</v>
      </c>
      <c r="O198">
        <v>1.86</v>
      </c>
    </row>
    <row r="199" spans="1:15" ht="16" x14ac:dyDescent="0.2">
      <c r="A199" t="s">
        <v>379</v>
      </c>
      <c r="B199" s="1">
        <v>1256894.6200000001</v>
      </c>
      <c r="C199" s="1">
        <v>80350.259999999995</v>
      </c>
      <c r="D199" s="1">
        <v>20065.809999999998</v>
      </c>
      <c r="E199" s="1">
        <v>53373</v>
      </c>
      <c r="F199" s="6">
        <v>1.5054476982744083</v>
      </c>
      <c r="G199" t="s">
        <v>358</v>
      </c>
      <c r="H199" t="s">
        <v>121</v>
      </c>
      <c r="I199" t="s">
        <v>380</v>
      </c>
      <c r="J199" s="1">
        <v>23.549259363348511</v>
      </c>
      <c r="K199" s="1">
        <v>0</v>
      </c>
      <c r="L199" s="2">
        <v>0</v>
      </c>
      <c r="M199">
        <v>0.88</v>
      </c>
      <c r="N199">
        <v>2.09</v>
      </c>
      <c r="O199">
        <v>0.9</v>
      </c>
    </row>
    <row r="200" spans="1:15" ht="16" x14ac:dyDescent="0.2">
      <c r="A200" t="s">
        <v>381</v>
      </c>
      <c r="B200" s="1">
        <v>1334212.54</v>
      </c>
      <c r="C200" s="1">
        <v>79977.27</v>
      </c>
      <c r="D200" s="1">
        <v>17011.46</v>
      </c>
      <c r="E200" s="1">
        <v>53316</v>
      </c>
      <c r="F200" s="6">
        <v>1.5000613324330407</v>
      </c>
      <c r="G200" t="s">
        <v>358</v>
      </c>
      <c r="H200" t="s">
        <v>206</v>
      </c>
      <c r="I200" t="s">
        <v>382</v>
      </c>
      <c r="J200" s="1">
        <v>25.024618125890914</v>
      </c>
      <c r="K200" s="1">
        <v>0</v>
      </c>
      <c r="L200" s="2">
        <v>0</v>
      </c>
      <c r="M200">
        <v>0.82</v>
      </c>
      <c r="N200">
        <v>1.1499999999999999</v>
      </c>
      <c r="O200">
        <v>1.74</v>
      </c>
    </row>
    <row r="201" spans="1:15" ht="16" x14ac:dyDescent="0.2">
      <c r="A201" t="s">
        <v>449</v>
      </c>
      <c r="B201" s="1">
        <v>756741.96</v>
      </c>
      <c r="C201" s="1">
        <v>58392.52</v>
      </c>
      <c r="D201" s="1">
        <v>21100.74</v>
      </c>
      <c r="E201" s="1">
        <v>39820</v>
      </c>
      <c r="F201" s="6">
        <v>1.4664118533400301</v>
      </c>
      <c r="G201" t="s">
        <v>358</v>
      </c>
      <c r="H201" t="s">
        <v>120</v>
      </c>
      <c r="I201" t="s">
        <v>227</v>
      </c>
      <c r="J201" s="1">
        <v>19.004067302862882</v>
      </c>
      <c r="K201" s="1">
        <v>0</v>
      </c>
      <c r="L201" s="2">
        <v>0</v>
      </c>
      <c r="M201">
        <v>0.85</v>
      </c>
      <c r="N201">
        <v>0.85</v>
      </c>
      <c r="O201">
        <v>1.08</v>
      </c>
    </row>
    <row r="202" spans="1:15" ht="16" x14ac:dyDescent="0.2">
      <c r="A202" t="s">
        <v>450</v>
      </c>
      <c r="B202" s="1">
        <v>603941.56000000006</v>
      </c>
      <c r="C202" s="1">
        <v>44286.04</v>
      </c>
      <c r="D202" s="1">
        <v>9627.380000000001</v>
      </c>
      <c r="E202" s="1">
        <v>30296</v>
      </c>
      <c r="F202" s="6">
        <v>1.4617784526010034</v>
      </c>
      <c r="G202" t="s">
        <v>358</v>
      </c>
      <c r="H202" t="s">
        <v>127</v>
      </c>
      <c r="I202" t="s">
        <v>451</v>
      </c>
      <c r="J202" s="1">
        <v>19.934696329548458</v>
      </c>
      <c r="K202" s="1">
        <v>0</v>
      </c>
      <c r="L202" s="2">
        <v>0</v>
      </c>
      <c r="M202">
        <v>0.88</v>
      </c>
      <c r="N202" t="s">
        <v>544</v>
      </c>
      <c r="O202">
        <v>0.9</v>
      </c>
    </row>
    <row r="203" spans="1:15" ht="16" x14ac:dyDescent="0.2">
      <c r="A203" t="s">
        <v>452</v>
      </c>
      <c r="B203" s="1">
        <v>728647.58</v>
      </c>
      <c r="C203" s="1">
        <v>47727.27</v>
      </c>
      <c r="D203" s="1">
        <v>13548.31</v>
      </c>
      <c r="E203" s="1">
        <v>32778</v>
      </c>
      <c r="F203" s="6">
        <v>1.4560763316858867</v>
      </c>
      <c r="G203" t="s">
        <v>358</v>
      </c>
      <c r="H203" t="s">
        <v>129</v>
      </c>
      <c r="I203" t="s">
        <v>453</v>
      </c>
      <c r="J203" s="1">
        <v>22.22977545914943</v>
      </c>
      <c r="K203" s="1">
        <v>0</v>
      </c>
      <c r="L203" s="2">
        <v>0</v>
      </c>
      <c r="M203">
        <v>0.68</v>
      </c>
      <c r="N203">
        <v>0.77</v>
      </c>
      <c r="O203">
        <v>0.73</v>
      </c>
    </row>
    <row r="204" spans="1:15" ht="16" x14ac:dyDescent="0.2">
      <c r="A204" t="s">
        <v>383</v>
      </c>
      <c r="B204" s="1">
        <v>1035234.78</v>
      </c>
      <c r="C204" s="1">
        <v>55899.4</v>
      </c>
      <c r="D204" s="1">
        <v>14190.5</v>
      </c>
      <c r="E204" s="1">
        <v>39834</v>
      </c>
      <c r="F204" s="6">
        <v>1.4033087312346237</v>
      </c>
      <c r="G204" t="s">
        <v>358</v>
      </c>
      <c r="H204" t="s">
        <v>127</v>
      </c>
      <c r="I204" t="s">
        <v>384</v>
      </c>
      <c r="J204" s="1">
        <v>25.988722699201688</v>
      </c>
      <c r="K204" s="1">
        <v>0</v>
      </c>
      <c r="L204" s="2">
        <v>0</v>
      </c>
      <c r="M204">
        <v>0.22</v>
      </c>
      <c r="N204">
        <v>1.83</v>
      </c>
      <c r="O204">
        <v>1.61</v>
      </c>
    </row>
    <row r="205" spans="1:15" ht="16" x14ac:dyDescent="0.2">
      <c r="A205" t="s">
        <v>25</v>
      </c>
      <c r="B205" s="1">
        <v>1167196.3</v>
      </c>
      <c r="C205" s="1">
        <v>75585.34</v>
      </c>
      <c r="D205" s="1">
        <v>13753.67</v>
      </c>
      <c r="E205" s="1">
        <v>54404</v>
      </c>
      <c r="F205" s="6">
        <v>1.3893342401294022</v>
      </c>
      <c r="G205" t="s">
        <v>358</v>
      </c>
      <c r="H205" t="s">
        <v>206</v>
      </c>
      <c r="I205" t="s">
        <v>385</v>
      </c>
      <c r="J205" s="1">
        <v>21.454236820822</v>
      </c>
      <c r="K205" s="1">
        <v>0</v>
      </c>
      <c r="L205" s="2">
        <v>0</v>
      </c>
      <c r="M205">
        <v>0.83</v>
      </c>
      <c r="N205">
        <v>0.83</v>
      </c>
      <c r="O205">
        <v>1.64</v>
      </c>
    </row>
    <row r="206" spans="1:15" ht="16" x14ac:dyDescent="0.2">
      <c r="A206" t="s">
        <v>386</v>
      </c>
      <c r="B206" s="1">
        <v>1277806.1200000001</v>
      </c>
      <c r="C206" s="1">
        <v>58769.979999999996</v>
      </c>
      <c r="D206" s="1">
        <v>19181.32</v>
      </c>
      <c r="E206" s="1">
        <v>43586</v>
      </c>
      <c r="F206" s="6">
        <v>1.3483682833937503</v>
      </c>
      <c r="G206" t="s">
        <v>358</v>
      </c>
      <c r="H206" t="s">
        <v>131</v>
      </c>
      <c r="I206" t="s">
        <v>387</v>
      </c>
      <c r="J206" s="1">
        <v>29.316893497912176</v>
      </c>
      <c r="K206" s="1">
        <v>0</v>
      </c>
      <c r="L206" s="2">
        <v>0</v>
      </c>
      <c r="M206">
        <v>0.89</v>
      </c>
      <c r="N206">
        <v>1.07</v>
      </c>
      <c r="O206">
        <v>0.81</v>
      </c>
    </row>
    <row r="207" spans="1:15" ht="16" x14ac:dyDescent="0.2">
      <c r="A207" t="s">
        <v>15</v>
      </c>
      <c r="B207" s="1">
        <v>1326786.58</v>
      </c>
      <c r="C207" s="1">
        <v>70503.66</v>
      </c>
      <c r="D207" s="1">
        <v>21634.42</v>
      </c>
      <c r="E207" s="1">
        <v>52628</v>
      </c>
      <c r="F207" s="6">
        <v>1.3396606369233108</v>
      </c>
      <c r="G207" t="s">
        <v>358</v>
      </c>
      <c r="H207" t="s">
        <v>127</v>
      </c>
      <c r="I207" t="s">
        <v>388</v>
      </c>
      <c r="J207" s="1">
        <v>25.210659344835449</v>
      </c>
      <c r="K207" s="1">
        <v>0</v>
      </c>
      <c r="L207" s="2">
        <v>0</v>
      </c>
      <c r="M207">
        <v>0.77</v>
      </c>
      <c r="N207">
        <v>0.84</v>
      </c>
      <c r="O207">
        <v>1.75</v>
      </c>
    </row>
    <row r="208" spans="1:15" ht="16" x14ac:dyDescent="0.2">
      <c r="A208" t="s">
        <v>389</v>
      </c>
      <c r="B208" s="1">
        <v>1385152.83</v>
      </c>
      <c r="C208" s="1">
        <v>80483.520000000004</v>
      </c>
      <c r="D208" s="1">
        <v>22447.759999999998</v>
      </c>
      <c r="E208" s="1">
        <v>60096</v>
      </c>
      <c r="F208" s="6">
        <v>1.3392492012779553</v>
      </c>
      <c r="G208" t="s">
        <v>358</v>
      </c>
      <c r="H208" t="s">
        <v>130</v>
      </c>
      <c r="I208" t="s">
        <v>390</v>
      </c>
      <c r="J208" s="1">
        <v>23.049002096645367</v>
      </c>
      <c r="K208" s="1">
        <v>0</v>
      </c>
      <c r="L208" s="2">
        <v>0</v>
      </c>
      <c r="M208">
        <v>0.85</v>
      </c>
      <c r="N208">
        <v>1.43</v>
      </c>
      <c r="O208">
        <v>1.52</v>
      </c>
    </row>
    <row r="209" spans="1:15" ht="16" x14ac:dyDescent="0.2">
      <c r="A209" t="s">
        <v>391</v>
      </c>
      <c r="B209" s="1">
        <v>1089791.95</v>
      </c>
      <c r="C209" s="1">
        <v>75953.509999999995</v>
      </c>
      <c r="D209" s="1">
        <v>18553</v>
      </c>
      <c r="E209" s="1">
        <v>56724</v>
      </c>
      <c r="F209" s="6">
        <v>1.3390013045624427</v>
      </c>
      <c r="G209" t="s">
        <v>358</v>
      </c>
      <c r="H209" t="s">
        <v>122</v>
      </c>
      <c r="I209" t="s">
        <v>392</v>
      </c>
      <c r="J209" s="1">
        <v>19.212184436922641</v>
      </c>
      <c r="K209" s="1">
        <v>0</v>
      </c>
      <c r="L209" s="2">
        <v>0</v>
      </c>
      <c r="M209">
        <v>0.9</v>
      </c>
      <c r="N209">
        <v>0.95</v>
      </c>
      <c r="O209">
        <v>0.68</v>
      </c>
    </row>
    <row r="210" spans="1:15" ht="16" x14ac:dyDescent="0.2">
      <c r="A210" t="s">
        <v>393</v>
      </c>
      <c r="B210" s="1">
        <v>1639331.34</v>
      </c>
      <c r="C210" s="1">
        <v>61772.4</v>
      </c>
      <c r="D210" s="1">
        <v>20651.02</v>
      </c>
      <c r="E210" s="1">
        <v>47441</v>
      </c>
      <c r="F210" s="6">
        <v>1.3020889104361206</v>
      </c>
      <c r="G210" t="s">
        <v>358</v>
      </c>
      <c r="H210" t="s">
        <v>132</v>
      </c>
      <c r="I210" t="s">
        <v>394</v>
      </c>
      <c r="J210" s="1">
        <v>34.555159882801796</v>
      </c>
      <c r="K210" s="1">
        <v>0</v>
      </c>
      <c r="L210" s="2">
        <v>0</v>
      </c>
      <c r="M210">
        <v>0.86</v>
      </c>
      <c r="N210">
        <v>0.85</v>
      </c>
      <c r="O210">
        <v>0.86</v>
      </c>
    </row>
    <row r="211" spans="1:15" ht="16" x14ac:dyDescent="0.2">
      <c r="A211" t="s">
        <v>395</v>
      </c>
      <c r="B211" s="1">
        <v>1328007.95</v>
      </c>
      <c r="C211" s="1">
        <v>70008.570000000007</v>
      </c>
      <c r="D211" s="1">
        <v>23250.89</v>
      </c>
      <c r="E211" s="1">
        <v>54235</v>
      </c>
      <c r="F211" s="6">
        <v>1.2908374665806215</v>
      </c>
      <c r="G211" t="s">
        <v>358</v>
      </c>
      <c r="H211" t="s">
        <v>122</v>
      </c>
      <c r="I211" t="s">
        <v>396</v>
      </c>
      <c r="J211" s="1">
        <v>24.486179588826403</v>
      </c>
      <c r="K211" s="1">
        <v>0</v>
      </c>
      <c r="L211" s="2">
        <v>0</v>
      </c>
      <c r="M211">
        <v>0.8</v>
      </c>
      <c r="N211">
        <v>0.93</v>
      </c>
      <c r="O211">
        <v>1.67</v>
      </c>
    </row>
    <row r="212" spans="1:15" ht="16" x14ac:dyDescent="0.2">
      <c r="A212" t="s">
        <v>397</v>
      </c>
      <c r="B212" s="1">
        <v>1241637</v>
      </c>
      <c r="C212" s="1">
        <v>65494.15</v>
      </c>
      <c r="D212" s="1">
        <v>24104.55</v>
      </c>
      <c r="E212" s="1">
        <v>51594</v>
      </c>
      <c r="F212" s="6">
        <v>1.2694140791564912</v>
      </c>
      <c r="G212" t="s">
        <v>358</v>
      </c>
      <c r="H212" t="s">
        <v>122</v>
      </c>
      <c r="I212" t="s">
        <v>392</v>
      </c>
      <c r="J212" s="1">
        <v>24.065530875683219</v>
      </c>
      <c r="K212" s="1">
        <v>0</v>
      </c>
      <c r="L212" s="2">
        <v>0</v>
      </c>
      <c r="M212">
        <v>0.99</v>
      </c>
      <c r="N212">
        <v>0.26</v>
      </c>
      <c r="O212">
        <v>1.76</v>
      </c>
    </row>
    <row r="213" spans="1:15" ht="16" x14ac:dyDescent="0.2">
      <c r="A213" t="s">
        <v>398</v>
      </c>
      <c r="B213" s="1">
        <v>999598.71</v>
      </c>
      <c r="C213" s="1">
        <v>61790.19</v>
      </c>
      <c r="D213" s="1">
        <v>19997.759999999998</v>
      </c>
      <c r="E213" s="1">
        <v>50808</v>
      </c>
      <c r="F213" s="6">
        <v>1.216150803023146</v>
      </c>
      <c r="G213" t="s">
        <v>358</v>
      </c>
      <c r="H213" t="s">
        <v>125</v>
      </c>
      <c r="I213" t="s">
        <v>399</v>
      </c>
      <c r="J213" s="1">
        <v>19.674041686348605</v>
      </c>
      <c r="K213" s="1">
        <v>0</v>
      </c>
      <c r="L213" s="2">
        <v>0</v>
      </c>
      <c r="M213">
        <v>0.85</v>
      </c>
      <c r="N213">
        <v>0.87</v>
      </c>
      <c r="O213">
        <v>0.92</v>
      </c>
    </row>
    <row r="214" spans="1:15" ht="16" x14ac:dyDescent="0.2">
      <c r="A214" t="s">
        <v>400</v>
      </c>
      <c r="B214" s="1">
        <v>935881.20000000007</v>
      </c>
      <c r="C214" s="1">
        <v>54407.65</v>
      </c>
      <c r="D214" s="1">
        <v>20290.7</v>
      </c>
      <c r="E214" s="1">
        <v>46017</v>
      </c>
      <c r="F214" s="6">
        <v>1.182338048981898</v>
      </c>
      <c r="G214" t="s">
        <v>358</v>
      </c>
      <c r="H214" t="s">
        <v>130</v>
      </c>
      <c r="I214" t="s">
        <v>401</v>
      </c>
      <c r="J214" s="1">
        <v>20.337727361627227</v>
      </c>
      <c r="K214" s="1">
        <v>0</v>
      </c>
      <c r="L214" s="2">
        <v>0</v>
      </c>
      <c r="M214">
        <v>0.6</v>
      </c>
      <c r="N214">
        <v>0.85</v>
      </c>
      <c r="O214">
        <v>1.34</v>
      </c>
    </row>
    <row r="215" spans="1:15" ht="16" x14ac:dyDescent="0.2">
      <c r="A215" t="s">
        <v>454</v>
      </c>
      <c r="B215" s="1">
        <v>603625.94999999995</v>
      </c>
      <c r="C215" s="1">
        <v>42347.49</v>
      </c>
      <c r="D215" s="1">
        <v>8012.52</v>
      </c>
      <c r="E215" s="1">
        <v>29305</v>
      </c>
      <c r="F215" s="6">
        <v>1.4450602286299266</v>
      </c>
      <c r="G215" t="s">
        <v>358</v>
      </c>
      <c r="H215" t="s">
        <v>122</v>
      </c>
      <c r="I215" t="s">
        <v>392</v>
      </c>
      <c r="J215" s="1">
        <v>20.598053233236648</v>
      </c>
      <c r="K215" s="1">
        <v>-161.40524000000457</v>
      </c>
      <c r="L215" s="2">
        <v>3.8114476206265019E-3</v>
      </c>
      <c r="M215">
        <v>0.08</v>
      </c>
      <c r="N215">
        <v>1.26</v>
      </c>
      <c r="O215">
        <v>0.63</v>
      </c>
    </row>
    <row r="216" spans="1:15" ht="16" x14ac:dyDescent="0.2">
      <c r="A216" t="s">
        <v>455</v>
      </c>
      <c r="B216" s="1">
        <v>585069.37</v>
      </c>
      <c r="C216" s="1">
        <v>57026</v>
      </c>
      <c r="D216" s="1">
        <v>11891.25</v>
      </c>
      <c r="E216" s="1">
        <v>39481</v>
      </c>
      <c r="F216" s="6">
        <v>1.4443909728730275</v>
      </c>
      <c r="G216" t="s">
        <v>358</v>
      </c>
      <c r="H216" t="s">
        <v>126</v>
      </c>
      <c r="I216" t="s">
        <v>456</v>
      </c>
      <c r="J216" s="1">
        <v>14.819010916643448</v>
      </c>
      <c r="K216" s="1">
        <v>-243.87520800000306</v>
      </c>
      <c r="L216" s="2">
        <v>4.2765617086943332E-3</v>
      </c>
      <c r="M216">
        <v>0.74</v>
      </c>
      <c r="N216">
        <v>0.81</v>
      </c>
      <c r="O216">
        <v>1.75</v>
      </c>
    </row>
    <row r="217" spans="1:15" ht="16" x14ac:dyDescent="0.2">
      <c r="A217" t="s">
        <v>402</v>
      </c>
      <c r="B217" s="1">
        <v>1086709.4099999999</v>
      </c>
      <c r="C217" s="1">
        <v>59182.81</v>
      </c>
      <c r="D217" s="1">
        <v>18803.55</v>
      </c>
      <c r="E217" s="1">
        <v>51256</v>
      </c>
      <c r="F217" s="6">
        <v>1.1546513578898079</v>
      </c>
      <c r="G217" t="s">
        <v>358</v>
      </c>
      <c r="H217" t="s">
        <v>130</v>
      </c>
      <c r="I217" t="s">
        <v>403</v>
      </c>
      <c r="J217" s="1">
        <v>21.201603909786169</v>
      </c>
      <c r="K217" s="1">
        <v>-709.56972000001031</v>
      </c>
      <c r="L217" s="2">
        <v>1.1989456397896794E-2</v>
      </c>
      <c r="M217">
        <v>0.86</v>
      </c>
      <c r="N217">
        <v>0.89</v>
      </c>
      <c r="O217">
        <v>1.6</v>
      </c>
    </row>
    <row r="218" spans="1:15" ht="16" x14ac:dyDescent="0.2">
      <c r="A218" t="s">
        <v>404</v>
      </c>
      <c r="B218" s="1">
        <v>1370745.42</v>
      </c>
      <c r="C218" s="1">
        <v>77293.77</v>
      </c>
      <c r="D218" s="1">
        <v>22021.08</v>
      </c>
      <c r="E218" s="1">
        <v>67242</v>
      </c>
      <c r="F218" s="6">
        <v>1.1494864816632462</v>
      </c>
      <c r="G218" t="s">
        <v>358</v>
      </c>
      <c r="H218" t="s">
        <v>119</v>
      </c>
      <c r="I218" t="s">
        <v>405</v>
      </c>
      <c r="J218" s="1">
        <v>20.385256536093511</v>
      </c>
      <c r="K218" s="1">
        <v>-1278.1707900000042</v>
      </c>
      <c r="L218" s="2">
        <v>1.6536530563847567E-2</v>
      </c>
      <c r="M218">
        <v>0.86</v>
      </c>
      <c r="N218">
        <v>0.81</v>
      </c>
      <c r="O218">
        <v>1.78</v>
      </c>
    </row>
    <row r="219" spans="1:15" ht="16" x14ac:dyDescent="0.2">
      <c r="A219" t="s">
        <v>406</v>
      </c>
      <c r="B219" s="1">
        <v>979672.37</v>
      </c>
      <c r="C219" s="1">
        <v>60449.599999999999</v>
      </c>
      <c r="D219" s="1">
        <v>15905.77</v>
      </c>
      <c r="E219" s="1">
        <v>53369</v>
      </c>
      <c r="F219" s="6">
        <v>1.13267252524874</v>
      </c>
      <c r="G219" t="s">
        <v>358</v>
      </c>
      <c r="H219" t="s">
        <v>129</v>
      </c>
      <c r="I219" t="s">
        <v>407</v>
      </c>
      <c r="J219" s="1">
        <v>18.356580973973657</v>
      </c>
      <c r="K219" s="1">
        <v>-1911.8096550000005</v>
      </c>
      <c r="L219" s="2">
        <v>3.1626506296154162E-2</v>
      </c>
      <c r="M219">
        <v>0.92</v>
      </c>
      <c r="N219">
        <v>1.35</v>
      </c>
      <c r="O219">
        <v>0.85</v>
      </c>
    </row>
    <row r="220" spans="1:15" ht="16" x14ac:dyDescent="0.2">
      <c r="A220" t="s">
        <v>457</v>
      </c>
      <c r="B220" s="1">
        <v>653959.5</v>
      </c>
      <c r="C220" s="1">
        <v>52915.590000000004</v>
      </c>
      <c r="D220" s="1">
        <v>11491.94</v>
      </c>
      <c r="E220" s="1">
        <v>38000</v>
      </c>
      <c r="F220" s="6">
        <v>1.3925155263157896</v>
      </c>
      <c r="G220" t="s">
        <v>358</v>
      </c>
      <c r="H220" t="s">
        <v>128</v>
      </c>
      <c r="I220" t="s">
        <v>407</v>
      </c>
      <c r="J220" s="1">
        <v>17.209460526315791</v>
      </c>
      <c r="K220" s="1">
        <v>-2205.9939999999997</v>
      </c>
      <c r="L220" s="2">
        <v>4.1688923812434095E-2</v>
      </c>
      <c r="M220">
        <v>0.67</v>
      </c>
      <c r="N220">
        <v>1.45</v>
      </c>
      <c r="O220" t="s">
        <v>544</v>
      </c>
    </row>
    <row r="221" spans="1:15" ht="16" x14ac:dyDescent="0.2">
      <c r="A221" t="s">
        <v>458</v>
      </c>
      <c r="B221" s="1">
        <v>628511.61</v>
      </c>
      <c r="C221" s="1">
        <v>56888.09</v>
      </c>
      <c r="D221" s="1">
        <v>12543.369999999999</v>
      </c>
      <c r="E221" s="1">
        <v>41228</v>
      </c>
      <c r="F221" s="6">
        <v>1.3798411273891529</v>
      </c>
      <c r="G221" t="s">
        <v>358</v>
      </c>
      <c r="H221" t="s">
        <v>206</v>
      </c>
      <c r="I221" t="s">
        <v>459</v>
      </c>
      <c r="J221" s="1">
        <v>15.244775637915978</v>
      </c>
      <c r="K221" s="1">
        <v>-2915.9275040000084</v>
      </c>
      <c r="L221" s="2">
        <v>5.1257257960321899E-2</v>
      </c>
      <c r="M221">
        <v>0.97</v>
      </c>
      <c r="N221">
        <v>0.88</v>
      </c>
      <c r="O221">
        <v>0.79</v>
      </c>
    </row>
    <row r="222" spans="1:15" ht="16" x14ac:dyDescent="0.2">
      <c r="A222" t="s">
        <v>408</v>
      </c>
      <c r="B222" s="1">
        <v>1057700.99</v>
      </c>
      <c r="C222" s="1">
        <v>60164.33</v>
      </c>
      <c r="D222" s="1">
        <v>14641.75</v>
      </c>
      <c r="E222" s="1">
        <v>54176</v>
      </c>
      <c r="F222" s="6">
        <v>1.1105347386296516</v>
      </c>
      <c r="G222" t="s">
        <v>358</v>
      </c>
      <c r="H222" t="s">
        <v>132</v>
      </c>
      <c r="I222" t="s">
        <v>409</v>
      </c>
      <c r="J222" s="1">
        <v>19.523423471647963</v>
      </c>
      <c r="K222" s="1">
        <v>-3140.0551199999995</v>
      </c>
      <c r="L222" s="2">
        <v>5.2191308704011154E-2</v>
      </c>
      <c r="M222">
        <v>0.9</v>
      </c>
      <c r="N222">
        <v>0.74</v>
      </c>
      <c r="O222">
        <v>0.88</v>
      </c>
    </row>
    <row r="223" spans="1:15" ht="16" x14ac:dyDescent="0.2">
      <c r="A223" t="s">
        <v>410</v>
      </c>
      <c r="B223" s="1">
        <v>1049067.6400000001</v>
      </c>
      <c r="C223" s="1">
        <v>52770.42</v>
      </c>
      <c r="D223" s="1">
        <v>18723.87</v>
      </c>
      <c r="E223" s="1">
        <v>50552</v>
      </c>
      <c r="F223" s="6">
        <v>1.0438839215065674</v>
      </c>
      <c r="G223" t="s">
        <v>358</v>
      </c>
      <c r="H223" t="s">
        <v>123</v>
      </c>
      <c r="I223" t="s">
        <v>411</v>
      </c>
      <c r="J223" s="1">
        <v>20.75224798227568</v>
      </c>
      <c r="K223" s="1">
        <v>-6299.3392400000084</v>
      </c>
      <c r="L223" s="2">
        <v>0.11937254317854602</v>
      </c>
      <c r="M223">
        <v>0.6</v>
      </c>
      <c r="N223">
        <v>0.44</v>
      </c>
      <c r="O223">
        <v>0.91</v>
      </c>
    </row>
    <row r="224" spans="1:15" ht="16" x14ac:dyDescent="0.2">
      <c r="A224" t="s">
        <v>20</v>
      </c>
      <c r="B224" s="1">
        <v>744650.05999999994</v>
      </c>
      <c r="C224" s="1">
        <v>49397.2</v>
      </c>
      <c r="D224" s="1">
        <v>13892.27</v>
      </c>
      <c r="E224" s="1">
        <v>42016</v>
      </c>
      <c r="F224" s="6">
        <v>1.1756759329779132</v>
      </c>
      <c r="G224" t="s">
        <v>358</v>
      </c>
      <c r="H224" t="s">
        <v>130</v>
      </c>
      <c r="I224" t="s">
        <v>460</v>
      </c>
      <c r="J224" s="1">
        <v>17.723011709824828</v>
      </c>
      <c r="K224" s="1">
        <v>-11549.865088000004</v>
      </c>
      <c r="L224" s="2">
        <v>0.23381618974354831</v>
      </c>
      <c r="M224">
        <v>0.68</v>
      </c>
      <c r="N224">
        <v>0.79</v>
      </c>
      <c r="O224">
        <v>0.86</v>
      </c>
    </row>
    <row r="225" spans="1:15" ht="16" x14ac:dyDescent="0.2">
      <c r="A225" t="s">
        <v>413</v>
      </c>
      <c r="B225" s="1">
        <v>1285394.94</v>
      </c>
      <c r="C225" s="1">
        <v>58262.61</v>
      </c>
      <c r="D225" s="1">
        <v>18686.54</v>
      </c>
      <c r="E225" s="1">
        <v>60571</v>
      </c>
      <c r="F225" s="6">
        <v>0.96188951808621292</v>
      </c>
      <c r="G225" t="s">
        <v>358</v>
      </c>
      <c r="H225" t="s">
        <v>130</v>
      </c>
      <c r="I225" t="s">
        <v>401</v>
      </c>
      <c r="J225" s="1">
        <v>21.221293028016706</v>
      </c>
      <c r="K225" s="1">
        <v>-12514.300645000001</v>
      </c>
      <c r="L225" s="2">
        <v>0.21479128114926538</v>
      </c>
      <c r="M225">
        <v>0.89</v>
      </c>
      <c r="N225">
        <v>0.6</v>
      </c>
      <c r="O225">
        <v>0.89</v>
      </c>
    </row>
    <row r="226" spans="1:15" ht="16" x14ac:dyDescent="0.2">
      <c r="A226" t="s">
        <v>46</v>
      </c>
      <c r="B226" s="1">
        <v>2060350.74</v>
      </c>
      <c r="C226" s="1">
        <v>95159.81</v>
      </c>
      <c r="D226" s="1">
        <v>25918.15</v>
      </c>
      <c r="E226" s="1">
        <v>93136</v>
      </c>
      <c r="F226" s="6">
        <v>1.0217296211991067</v>
      </c>
      <c r="G226" t="s">
        <v>358</v>
      </c>
      <c r="H226" t="s">
        <v>126</v>
      </c>
      <c r="I226" t="s">
        <v>412</v>
      </c>
      <c r="J226" s="1">
        <v>22.121958641126955</v>
      </c>
      <c r="K226" s="1">
        <v>-13669.140320000004</v>
      </c>
      <c r="L226" s="2">
        <v>0.1436440480492763</v>
      </c>
      <c r="M226">
        <v>0.78</v>
      </c>
      <c r="N226">
        <v>2.54</v>
      </c>
      <c r="O226">
        <v>1.7</v>
      </c>
    </row>
    <row r="227" spans="1:15" ht="16" x14ac:dyDescent="0.2">
      <c r="A227" t="s">
        <v>461</v>
      </c>
      <c r="B227" s="1">
        <v>558203.03</v>
      </c>
      <c r="C227" s="1">
        <v>38015.08</v>
      </c>
      <c r="D227" s="1">
        <v>13770.91</v>
      </c>
      <c r="E227" s="1">
        <v>35985</v>
      </c>
      <c r="F227" s="6">
        <v>1.0564146172016118</v>
      </c>
      <c r="G227" t="s">
        <v>358</v>
      </c>
      <c r="H227" t="s">
        <v>129</v>
      </c>
      <c r="I227" t="s">
        <v>462</v>
      </c>
      <c r="J227" s="1">
        <v>15.51210309851327</v>
      </c>
      <c r="K227" s="1">
        <v>-14183.609480000003</v>
      </c>
      <c r="L227" s="2">
        <v>0.37310481735143008</v>
      </c>
      <c r="M227">
        <v>0.87</v>
      </c>
      <c r="N227" t="s">
        <v>544</v>
      </c>
      <c r="O227">
        <v>0.77</v>
      </c>
    </row>
    <row r="228" spans="1:15" ht="16" x14ac:dyDescent="0.2">
      <c r="A228" t="s">
        <v>463</v>
      </c>
      <c r="B228" s="1">
        <v>711704.30999999994</v>
      </c>
      <c r="C228" s="1">
        <v>40733.89</v>
      </c>
      <c r="D228" s="1">
        <v>4368.6000000000004</v>
      </c>
      <c r="E228" s="1">
        <v>41684</v>
      </c>
      <c r="F228" s="6">
        <v>0.97720684195374719</v>
      </c>
      <c r="G228" t="s">
        <v>358</v>
      </c>
      <c r="H228" t="s">
        <v>123</v>
      </c>
      <c r="I228" t="s">
        <v>464</v>
      </c>
      <c r="J228" s="1">
        <v>17.073800738892619</v>
      </c>
      <c r="K228" s="1">
        <v>-19731.586512000005</v>
      </c>
      <c r="L228" s="2">
        <v>0.48440221427415858</v>
      </c>
      <c r="M228">
        <v>0.11</v>
      </c>
      <c r="N228" t="s">
        <v>544</v>
      </c>
      <c r="O228">
        <v>0.89</v>
      </c>
    </row>
    <row r="229" spans="1:15" ht="16" x14ac:dyDescent="0.2">
      <c r="A229" t="s">
        <v>414</v>
      </c>
      <c r="B229" s="1">
        <v>1331400.3</v>
      </c>
      <c r="C229" s="1">
        <v>83059.7</v>
      </c>
      <c r="D229" s="1">
        <v>23722.31</v>
      </c>
      <c r="E229" s="1">
        <v>91665</v>
      </c>
      <c r="F229" s="6">
        <v>0.9061222931326024</v>
      </c>
      <c r="G229" t="s">
        <v>358</v>
      </c>
      <c r="H229" t="s">
        <v>128</v>
      </c>
      <c r="I229" t="s">
        <v>415</v>
      </c>
      <c r="J229" s="1">
        <v>14.524630993290788</v>
      </c>
      <c r="K229" s="1">
        <v>-24050.394175000009</v>
      </c>
      <c r="L229" s="2">
        <v>0.28955551458770029</v>
      </c>
      <c r="M229">
        <v>0.84</v>
      </c>
      <c r="N229">
        <v>1.81</v>
      </c>
      <c r="O229">
        <v>1.78</v>
      </c>
    </row>
    <row r="231" spans="1:15" ht="19" x14ac:dyDescent="0.25">
      <c r="A231" s="4" t="s">
        <v>537</v>
      </c>
      <c r="F231" t="e">
        <f>CORREL(F170:F229,#REF!)</f>
        <v>#REF!</v>
      </c>
    </row>
    <row r="233" spans="1:15" x14ac:dyDescent="0.2">
      <c r="A233" t="s">
        <v>0</v>
      </c>
      <c r="B233" s="3" t="s">
        <v>1</v>
      </c>
      <c r="C233" s="3" t="s">
        <v>2</v>
      </c>
      <c r="D233" s="3" t="s">
        <v>3</v>
      </c>
      <c r="E233" s="3" t="s">
        <v>4</v>
      </c>
      <c r="F233" s="3" t="s">
        <v>5</v>
      </c>
      <c r="G233" t="s">
        <v>6</v>
      </c>
      <c r="H233" t="s">
        <v>7</v>
      </c>
      <c r="I233" t="s">
        <v>8</v>
      </c>
      <c r="J233" s="3" t="s">
        <v>9</v>
      </c>
      <c r="K233" t="s">
        <v>10</v>
      </c>
      <c r="L233" t="s">
        <v>11</v>
      </c>
    </row>
    <row r="234" spans="1:15" ht="16" x14ac:dyDescent="0.2">
      <c r="A234" t="s">
        <v>465</v>
      </c>
      <c r="B234" s="1">
        <v>836936.62</v>
      </c>
      <c r="C234" s="1">
        <v>66728.87</v>
      </c>
      <c r="D234" s="1">
        <v>10329.31</v>
      </c>
      <c r="E234" s="1">
        <v>33214</v>
      </c>
      <c r="F234" s="6">
        <v>2.0090585295357379</v>
      </c>
      <c r="G234" t="s">
        <v>466</v>
      </c>
      <c r="H234" t="s">
        <v>120</v>
      </c>
      <c r="I234" t="s">
        <v>467</v>
      </c>
      <c r="J234" s="1">
        <v>25.198308544589629</v>
      </c>
      <c r="K234" s="1">
        <v>17976.696520000001</v>
      </c>
      <c r="L234" s="2">
        <v>0.26939908498375592</v>
      </c>
      <c r="M234">
        <v>0.89</v>
      </c>
      <c r="N234">
        <v>1.18</v>
      </c>
      <c r="O234">
        <v>1.64</v>
      </c>
    </row>
    <row r="235" spans="1:15" ht="16" x14ac:dyDescent="0.2">
      <c r="A235" t="s">
        <v>483</v>
      </c>
      <c r="B235" s="1">
        <v>602925.05000000005</v>
      </c>
      <c r="C235" s="1">
        <v>47213.65</v>
      </c>
      <c r="D235" s="1">
        <v>9431.65</v>
      </c>
      <c r="E235" s="1">
        <v>18585</v>
      </c>
      <c r="F235" s="6">
        <v>2.540417002959376</v>
      </c>
      <c r="G235" t="s">
        <v>466</v>
      </c>
      <c r="H235" t="s">
        <v>124</v>
      </c>
      <c r="I235" t="s">
        <v>484</v>
      </c>
      <c r="J235" s="1">
        <v>32.441487758945385</v>
      </c>
      <c r="K235" s="1">
        <v>15106.947400000003</v>
      </c>
      <c r="L235" s="2">
        <v>0.31996991124388818</v>
      </c>
      <c r="M235">
        <v>0.77</v>
      </c>
      <c r="N235">
        <v>0.18</v>
      </c>
      <c r="O235">
        <v>0.93</v>
      </c>
    </row>
    <row r="236" spans="1:15" ht="16" x14ac:dyDescent="0.2">
      <c r="A236" t="s">
        <v>513</v>
      </c>
      <c r="B236" s="1">
        <v>351078.24</v>
      </c>
      <c r="C236" s="1">
        <v>37668.74</v>
      </c>
      <c r="D236" s="1">
        <v>8815.39</v>
      </c>
      <c r="E236" s="1">
        <v>16076</v>
      </c>
      <c r="F236" s="6">
        <v>2.3431662105001241</v>
      </c>
      <c r="G236" t="s">
        <v>466</v>
      </c>
      <c r="H236" t="s">
        <v>119</v>
      </c>
      <c r="I236" t="s">
        <v>514</v>
      </c>
      <c r="J236" s="1">
        <v>21.838656382184624</v>
      </c>
      <c r="K236" s="1">
        <v>5369.8053599999957</v>
      </c>
      <c r="L236" s="2">
        <v>0.14255335750545403</v>
      </c>
      <c r="M236">
        <v>0.85</v>
      </c>
      <c r="N236" t="s">
        <v>544</v>
      </c>
      <c r="O236">
        <v>0.85</v>
      </c>
    </row>
    <row r="237" spans="1:15" ht="16" x14ac:dyDescent="0.2">
      <c r="A237" t="s">
        <v>485</v>
      </c>
      <c r="B237" s="1">
        <v>562927.49</v>
      </c>
      <c r="C237" s="1">
        <v>52189.7</v>
      </c>
      <c r="D237" s="1">
        <v>15067.19</v>
      </c>
      <c r="E237" s="1">
        <v>27204</v>
      </c>
      <c r="F237" s="6">
        <v>1.918456844581679</v>
      </c>
      <c r="G237" t="s">
        <v>466</v>
      </c>
      <c r="H237" t="s">
        <v>123</v>
      </c>
      <c r="I237" t="s">
        <v>486</v>
      </c>
      <c r="J237" s="1">
        <v>20.692820541096896</v>
      </c>
      <c r="K237" s="1">
        <v>5193.1577599999955</v>
      </c>
      <c r="L237" s="2">
        <v>9.9505415053161753E-2</v>
      </c>
      <c r="M237">
        <v>0.87</v>
      </c>
      <c r="N237">
        <v>0.35</v>
      </c>
      <c r="O237">
        <v>0.73</v>
      </c>
    </row>
    <row r="238" spans="1:15" ht="16" x14ac:dyDescent="0.2">
      <c r="A238" t="s">
        <v>487</v>
      </c>
      <c r="B238" s="1">
        <v>586071.68000000005</v>
      </c>
      <c r="C238" s="1">
        <v>50330.28</v>
      </c>
      <c r="D238" s="1">
        <v>11044.73</v>
      </c>
      <c r="E238" s="1">
        <v>26396</v>
      </c>
      <c r="F238" s="6">
        <v>1.9067388998333081</v>
      </c>
      <c r="G238" t="s">
        <v>466</v>
      </c>
      <c r="H238" t="s">
        <v>127</v>
      </c>
      <c r="I238" t="s">
        <v>488</v>
      </c>
      <c r="J238" s="1">
        <v>22.203048946810124</v>
      </c>
      <c r="K238" s="1">
        <v>4729.6062400000019</v>
      </c>
      <c r="L238" s="2">
        <v>9.3971387403368356E-2</v>
      </c>
      <c r="M238">
        <v>0.8</v>
      </c>
      <c r="N238">
        <v>1.64</v>
      </c>
      <c r="O238" t="s">
        <v>544</v>
      </c>
    </row>
    <row r="239" spans="1:15" ht="16" x14ac:dyDescent="0.2">
      <c r="A239" t="s">
        <v>515</v>
      </c>
      <c r="B239" s="1">
        <v>360058.17</v>
      </c>
      <c r="C239" s="1">
        <v>43351.040000000001</v>
      </c>
      <c r="D239" s="1">
        <v>8529.76</v>
      </c>
      <c r="E239" s="1">
        <v>20016</v>
      </c>
      <c r="F239" s="6">
        <v>2.1658193445243805</v>
      </c>
      <c r="G239" t="s">
        <v>466</v>
      </c>
      <c r="H239" t="s">
        <v>120</v>
      </c>
      <c r="I239" t="s">
        <v>257</v>
      </c>
      <c r="J239" s="1">
        <v>17.988517685851317</v>
      </c>
      <c r="K239" s="1">
        <v>3136.093760000002</v>
      </c>
      <c r="L239" s="2">
        <v>7.2341834475020711E-2</v>
      </c>
      <c r="M239">
        <v>0.85</v>
      </c>
      <c r="N239">
        <v>0.95</v>
      </c>
      <c r="O239" t="s">
        <v>544</v>
      </c>
    </row>
    <row r="240" spans="1:15" ht="16" x14ac:dyDescent="0.2">
      <c r="A240" t="s">
        <v>468</v>
      </c>
      <c r="B240" s="1">
        <v>822214.42</v>
      </c>
      <c r="C240" s="1">
        <v>53768.71</v>
      </c>
      <c r="D240" s="1">
        <v>13579.31</v>
      </c>
      <c r="E240" s="1">
        <v>35606</v>
      </c>
      <c r="F240" s="6">
        <v>1.5101025108127843</v>
      </c>
      <c r="G240" t="s">
        <v>466</v>
      </c>
      <c r="H240" t="s">
        <v>131</v>
      </c>
      <c r="I240" t="s">
        <v>469</v>
      </c>
      <c r="J240" s="1">
        <v>23.092018760882997</v>
      </c>
      <c r="K240" s="1">
        <v>1505.5110800000029</v>
      </c>
      <c r="L240" s="2">
        <v>2.7999761943331036E-2</v>
      </c>
      <c r="M240">
        <v>0.64</v>
      </c>
      <c r="N240">
        <v>0.25</v>
      </c>
      <c r="O240">
        <v>0.86</v>
      </c>
    </row>
    <row r="241" spans="1:15" ht="16" x14ac:dyDescent="0.2">
      <c r="A241" t="s">
        <v>516</v>
      </c>
      <c r="B241" s="1">
        <v>479768.42</v>
      </c>
      <c r="C241" s="1">
        <v>67705.78</v>
      </c>
      <c r="D241" s="1">
        <v>13035.25</v>
      </c>
      <c r="E241" s="1">
        <v>33198</v>
      </c>
      <c r="F241" s="6">
        <v>2.0394535815410566</v>
      </c>
      <c r="G241" t="s">
        <v>466</v>
      </c>
      <c r="H241" t="s">
        <v>131</v>
      </c>
      <c r="I241" t="s">
        <v>517</v>
      </c>
      <c r="J241" s="1">
        <v>14.451726610036749</v>
      </c>
      <c r="K241" s="1">
        <v>1006.3502799999995</v>
      </c>
      <c r="L241" s="2">
        <v>1.4863580037036713E-2</v>
      </c>
      <c r="M241">
        <v>0.88</v>
      </c>
      <c r="N241">
        <v>0.9</v>
      </c>
      <c r="O241">
        <v>1.86</v>
      </c>
    </row>
    <row r="242" spans="1:15" ht="16" x14ac:dyDescent="0.2">
      <c r="A242" t="s">
        <v>489</v>
      </c>
      <c r="B242" s="1">
        <v>669128.77</v>
      </c>
      <c r="C242" s="1">
        <v>59240.06</v>
      </c>
      <c r="D242" s="1">
        <v>14797.96</v>
      </c>
      <c r="E242" s="1">
        <v>33728</v>
      </c>
      <c r="F242" s="6">
        <v>1.7564059535104364</v>
      </c>
      <c r="G242" t="s">
        <v>466</v>
      </c>
      <c r="H242" t="s">
        <v>124</v>
      </c>
      <c r="I242" t="s">
        <v>490</v>
      </c>
      <c r="J242" s="1">
        <v>19.838969698766604</v>
      </c>
      <c r="K242" s="1">
        <v>972.91631999999868</v>
      </c>
      <c r="L242" s="2">
        <v>1.6423283838672659E-2</v>
      </c>
      <c r="M242">
        <v>0.74</v>
      </c>
      <c r="N242">
        <v>1.32</v>
      </c>
      <c r="O242">
        <v>0.24</v>
      </c>
    </row>
    <row r="243" spans="1:15" ht="16" x14ac:dyDescent="0.2">
      <c r="A243" t="s">
        <v>470</v>
      </c>
      <c r="B243" s="1">
        <v>977581.32000000007</v>
      </c>
      <c r="C243" s="1">
        <v>80668.59</v>
      </c>
      <c r="D243" s="1">
        <v>23106.01</v>
      </c>
      <c r="E243" s="1">
        <v>54958</v>
      </c>
      <c r="F243" s="6">
        <v>1.4678225190145202</v>
      </c>
      <c r="G243" t="s">
        <v>466</v>
      </c>
      <c r="H243" t="s">
        <v>206</v>
      </c>
      <c r="I243" t="s">
        <v>471</v>
      </c>
      <c r="J243" s="1">
        <v>17.787789220859565</v>
      </c>
      <c r="K243" s="1">
        <v>0.13844000000708734</v>
      </c>
      <c r="L243" s="2">
        <v>1.7161574288962698E-6</v>
      </c>
      <c r="M243">
        <v>0.87</v>
      </c>
      <c r="N243">
        <v>1.85</v>
      </c>
      <c r="O243">
        <v>1.74</v>
      </c>
    </row>
    <row r="244" spans="1:15" ht="16" x14ac:dyDescent="0.2">
      <c r="A244" t="s">
        <v>491</v>
      </c>
      <c r="B244" s="1">
        <v>612589.38</v>
      </c>
      <c r="C244" s="1">
        <v>48152.35</v>
      </c>
      <c r="D244" s="1">
        <v>11339.16</v>
      </c>
      <c r="E244" s="1">
        <v>27873</v>
      </c>
      <c r="F244" s="6">
        <v>1.7275625156961933</v>
      </c>
      <c r="G244" t="s">
        <v>466</v>
      </c>
      <c r="H244" t="s">
        <v>206</v>
      </c>
      <c r="I244" t="s">
        <v>492</v>
      </c>
      <c r="J244" s="1">
        <v>21.97787751587558</v>
      </c>
      <c r="K244" s="1">
        <v>7.0119999997563687E-2</v>
      </c>
      <c r="L244" s="2">
        <v>1.456211379040975E-6</v>
      </c>
      <c r="M244">
        <v>0.52</v>
      </c>
      <c r="N244">
        <v>1.3</v>
      </c>
      <c r="O244">
        <v>0.89</v>
      </c>
    </row>
    <row r="245" spans="1:15" ht="16" x14ac:dyDescent="0.2">
      <c r="A245" t="s">
        <v>518</v>
      </c>
      <c r="B245" s="1">
        <v>337548.86</v>
      </c>
      <c r="C245" s="1">
        <v>42565.57</v>
      </c>
      <c r="D245" s="1">
        <v>9444.86</v>
      </c>
      <c r="E245" s="1">
        <v>21186</v>
      </c>
      <c r="F245" s="6">
        <v>2.009136694043236</v>
      </c>
      <c r="G245" t="s">
        <v>466</v>
      </c>
      <c r="H245" t="s">
        <v>206</v>
      </c>
      <c r="I245" t="s">
        <v>434</v>
      </c>
      <c r="J245" s="1">
        <v>15.932637590861889</v>
      </c>
      <c r="K245" s="1">
        <v>0</v>
      </c>
      <c r="L245" s="2">
        <v>0</v>
      </c>
      <c r="M245">
        <v>0.24</v>
      </c>
      <c r="N245">
        <v>0.86</v>
      </c>
      <c r="O245">
        <v>0.55000000000000004</v>
      </c>
    </row>
    <row r="246" spans="1:15" ht="16" x14ac:dyDescent="0.2">
      <c r="A246" t="s">
        <v>519</v>
      </c>
      <c r="B246" s="1">
        <v>419088.24</v>
      </c>
      <c r="C246" s="1">
        <v>32204.73</v>
      </c>
      <c r="D246" s="1">
        <v>8856.2000000000007</v>
      </c>
      <c r="E246" s="1">
        <v>17066</v>
      </c>
      <c r="F246" s="6">
        <v>1.8870696120942223</v>
      </c>
      <c r="G246" t="s">
        <v>466</v>
      </c>
      <c r="H246" t="s">
        <v>122</v>
      </c>
      <c r="I246" t="s">
        <v>520</v>
      </c>
      <c r="J246" s="1">
        <v>24.556910816828783</v>
      </c>
      <c r="K246" s="1">
        <v>0</v>
      </c>
      <c r="L246" s="2">
        <v>0</v>
      </c>
      <c r="M246">
        <v>0.91</v>
      </c>
      <c r="N246" t="s">
        <v>544</v>
      </c>
      <c r="O246" t="s">
        <v>544</v>
      </c>
    </row>
    <row r="247" spans="1:15" ht="16" x14ac:dyDescent="0.2">
      <c r="A247" t="s">
        <v>521</v>
      </c>
      <c r="B247" s="1">
        <v>408536.79</v>
      </c>
      <c r="C247" s="1">
        <v>35429.410000000003</v>
      </c>
      <c r="D247" s="1">
        <v>10636.68</v>
      </c>
      <c r="E247" s="1">
        <v>19069</v>
      </c>
      <c r="F247" s="6">
        <v>1.8579584666212179</v>
      </c>
      <c r="G247" t="s">
        <v>466</v>
      </c>
      <c r="H247" t="s">
        <v>132</v>
      </c>
      <c r="I247" t="s">
        <v>522</v>
      </c>
      <c r="J247" s="1">
        <v>21.424132885835647</v>
      </c>
      <c r="K247" s="1">
        <v>0</v>
      </c>
      <c r="L247" s="2">
        <v>0</v>
      </c>
      <c r="M247">
        <v>0.24</v>
      </c>
      <c r="N247">
        <v>0.8</v>
      </c>
      <c r="O247" t="s">
        <v>544</v>
      </c>
    </row>
    <row r="248" spans="1:15" ht="16" x14ac:dyDescent="0.2">
      <c r="A248" t="s">
        <v>57</v>
      </c>
      <c r="B248" s="1">
        <v>452842.38</v>
      </c>
      <c r="C248" s="1">
        <v>30789.1</v>
      </c>
      <c r="D248" s="1">
        <v>8015</v>
      </c>
      <c r="E248" s="1">
        <v>17022</v>
      </c>
      <c r="F248" s="6">
        <v>1.8087827517330513</v>
      </c>
      <c r="G248" t="s">
        <v>466</v>
      </c>
      <c r="H248" t="s">
        <v>122</v>
      </c>
      <c r="I248" t="s">
        <v>523</v>
      </c>
      <c r="J248" s="1">
        <v>26.603359182234755</v>
      </c>
      <c r="K248" s="1">
        <v>0</v>
      </c>
      <c r="L248" s="2">
        <v>0</v>
      </c>
      <c r="M248">
        <v>0.84</v>
      </c>
      <c r="N248" t="s">
        <v>544</v>
      </c>
      <c r="O248" t="s">
        <v>544</v>
      </c>
    </row>
    <row r="249" spans="1:15" ht="16" x14ac:dyDescent="0.2">
      <c r="A249" t="s">
        <v>524</v>
      </c>
      <c r="B249" s="1">
        <v>421425.35</v>
      </c>
      <c r="C249" s="1">
        <v>36410.910000000003</v>
      </c>
      <c r="D249" s="1">
        <v>8898.25</v>
      </c>
      <c r="E249" s="1">
        <v>20560</v>
      </c>
      <c r="F249" s="6">
        <v>1.7709586575875489</v>
      </c>
      <c r="G249" t="s">
        <v>466</v>
      </c>
      <c r="H249" t="s">
        <v>126</v>
      </c>
      <c r="I249" t="s">
        <v>525</v>
      </c>
      <c r="J249" s="1">
        <v>20.497341926070039</v>
      </c>
      <c r="K249" s="1">
        <v>0</v>
      </c>
      <c r="L249" s="2">
        <v>0</v>
      </c>
      <c r="M249">
        <v>0.87</v>
      </c>
      <c r="N249" t="s">
        <v>544</v>
      </c>
      <c r="O249">
        <v>0.88</v>
      </c>
    </row>
    <row r="250" spans="1:15" ht="16" x14ac:dyDescent="0.2">
      <c r="A250" t="s">
        <v>51</v>
      </c>
      <c r="B250" s="1">
        <v>434328.33</v>
      </c>
      <c r="C250" s="1">
        <v>44351.79</v>
      </c>
      <c r="D250" s="1">
        <v>10702.38</v>
      </c>
      <c r="E250" s="1">
        <v>25753</v>
      </c>
      <c r="F250" s="6">
        <v>1.7221989671106279</v>
      </c>
      <c r="G250" t="s">
        <v>466</v>
      </c>
      <c r="H250" t="s">
        <v>122</v>
      </c>
      <c r="I250" t="s">
        <v>526</v>
      </c>
      <c r="J250" s="1">
        <v>16.865154739253679</v>
      </c>
      <c r="K250" s="1">
        <v>0</v>
      </c>
      <c r="L250" s="2">
        <v>0</v>
      </c>
      <c r="M250">
        <v>0.82</v>
      </c>
      <c r="N250" t="s">
        <v>544</v>
      </c>
      <c r="O250">
        <v>0.92</v>
      </c>
    </row>
    <row r="251" spans="1:15" ht="16" x14ac:dyDescent="0.2">
      <c r="A251" t="s">
        <v>527</v>
      </c>
      <c r="B251" s="1">
        <v>461217.7</v>
      </c>
      <c r="C251" s="1">
        <v>46477.68</v>
      </c>
      <c r="D251" s="1">
        <v>11347.33</v>
      </c>
      <c r="E251" s="1">
        <v>27485</v>
      </c>
      <c r="F251" s="6">
        <v>1.691019828997635</v>
      </c>
      <c r="G251" t="s">
        <v>466</v>
      </c>
      <c r="H251" t="s">
        <v>119</v>
      </c>
      <c r="I251" t="s">
        <v>528</v>
      </c>
      <c r="J251" s="1">
        <v>16.780705839548844</v>
      </c>
      <c r="K251" s="1">
        <v>0</v>
      </c>
      <c r="L251" s="2">
        <v>0</v>
      </c>
      <c r="M251">
        <v>0.78</v>
      </c>
      <c r="N251">
        <v>0.91</v>
      </c>
      <c r="O251">
        <v>0.82</v>
      </c>
    </row>
    <row r="252" spans="1:15" ht="16" x14ac:dyDescent="0.2">
      <c r="A252" t="s">
        <v>529</v>
      </c>
      <c r="B252" s="1">
        <v>447896.08</v>
      </c>
      <c r="C252" s="1">
        <v>36540.449999999997</v>
      </c>
      <c r="D252" s="1">
        <v>7704.76</v>
      </c>
      <c r="E252" s="1">
        <v>21966</v>
      </c>
      <c r="F252" s="6">
        <v>1.6635004097241191</v>
      </c>
      <c r="G252" t="s">
        <v>466</v>
      </c>
      <c r="H252" t="s">
        <v>131</v>
      </c>
      <c r="I252" t="s">
        <v>530</v>
      </c>
      <c r="J252" s="1">
        <v>20.390425202585813</v>
      </c>
      <c r="K252" s="1">
        <v>0</v>
      </c>
      <c r="L252" s="2">
        <v>0</v>
      </c>
      <c r="M252">
        <v>0.89</v>
      </c>
      <c r="N252">
        <v>0.11</v>
      </c>
      <c r="O252">
        <v>0.63</v>
      </c>
    </row>
    <row r="253" spans="1:15" ht="16" x14ac:dyDescent="0.2">
      <c r="A253" t="s">
        <v>493</v>
      </c>
      <c r="B253" s="1">
        <v>617803.66</v>
      </c>
      <c r="C253" s="1">
        <v>46050.659999999996</v>
      </c>
      <c r="D253" s="1">
        <v>9853.75</v>
      </c>
      <c r="E253" s="1">
        <v>28256</v>
      </c>
      <c r="F253" s="6">
        <v>1.6297657134767836</v>
      </c>
      <c r="G253" t="s">
        <v>466</v>
      </c>
      <c r="H253" t="s">
        <v>127</v>
      </c>
      <c r="I253" t="s">
        <v>488</v>
      </c>
      <c r="J253" s="1">
        <v>21.864512315968291</v>
      </c>
      <c r="K253" s="1">
        <v>0</v>
      </c>
      <c r="L253" s="2">
        <v>0</v>
      </c>
      <c r="M253">
        <v>0.8</v>
      </c>
      <c r="N253">
        <v>0.57999999999999996</v>
      </c>
      <c r="O253">
        <v>0.84</v>
      </c>
    </row>
    <row r="254" spans="1:15" ht="16" x14ac:dyDescent="0.2">
      <c r="A254" t="s">
        <v>494</v>
      </c>
      <c r="B254" s="1">
        <v>599693.37</v>
      </c>
      <c r="C254" s="1">
        <v>44143.9</v>
      </c>
      <c r="D254" s="1">
        <v>9739.01</v>
      </c>
      <c r="E254" s="1">
        <v>27521</v>
      </c>
      <c r="F254" s="6">
        <v>1.6040078485520148</v>
      </c>
      <c r="G254" t="s">
        <v>466</v>
      </c>
      <c r="H254" t="s">
        <v>129</v>
      </c>
      <c r="I254" t="s">
        <v>495</v>
      </c>
      <c r="J254" s="1">
        <v>21.79039170088296</v>
      </c>
      <c r="K254" s="1">
        <v>0</v>
      </c>
      <c r="L254" s="2">
        <v>0</v>
      </c>
      <c r="M254">
        <v>0.67</v>
      </c>
      <c r="N254">
        <v>0.93</v>
      </c>
      <c r="O254">
        <v>0.88</v>
      </c>
    </row>
    <row r="255" spans="1:15" ht="16" x14ac:dyDescent="0.2">
      <c r="A255" t="s">
        <v>496</v>
      </c>
      <c r="B255" s="1">
        <v>591207.62</v>
      </c>
      <c r="C255" s="1">
        <v>43409.93</v>
      </c>
      <c r="D255" s="1">
        <v>11511.710000000001</v>
      </c>
      <c r="E255" s="1">
        <v>28638</v>
      </c>
      <c r="F255" s="6">
        <v>1.5158156994203507</v>
      </c>
      <c r="G255" t="s">
        <v>466</v>
      </c>
      <c r="H255" t="s">
        <v>132</v>
      </c>
      <c r="I255" t="s">
        <v>497</v>
      </c>
      <c r="J255" s="1">
        <v>20.644165793700676</v>
      </c>
      <c r="K255" s="1">
        <v>0</v>
      </c>
      <c r="L255" s="2">
        <v>0</v>
      </c>
      <c r="M255">
        <v>0.81</v>
      </c>
      <c r="N255" t="s">
        <v>544</v>
      </c>
      <c r="O255">
        <v>0.92</v>
      </c>
    </row>
    <row r="256" spans="1:15" ht="16" x14ac:dyDescent="0.2">
      <c r="A256" t="s">
        <v>498</v>
      </c>
      <c r="B256" s="1">
        <v>685420.85</v>
      </c>
      <c r="C256" s="1">
        <v>63226.29</v>
      </c>
      <c r="D256" s="1">
        <v>16466.43</v>
      </c>
      <c r="E256" s="1">
        <v>43638</v>
      </c>
      <c r="F256" s="6">
        <v>1.4488814794445208</v>
      </c>
      <c r="G256" t="s">
        <v>466</v>
      </c>
      <c r="H256" t="s">
        <v>126</v>
      </c>
      <c r="I256" t="s">
        <v>499</v>
      </c>
      <c r="J256" s="1">
        <v>15.706972134378294</v>
      </c>
      <c r="K256" s="1">
        <v>0</v>
      </c>
      <c r="L256" s="2">
        <v>0</v>
      </c>
      <c r="M256">
        <v>0.78</v>
      </c>
      <c r="N256">
        <v>0.75</v>
      </c>
      <c r="O256">
        <v>1.69</v>
      </c>
    </row>
    <row r="257" spans="1:15" ht="16" x14ac:dyDescent="0.2">
      <c r="A257" t="s">
        <v>472</v>
      </c>
      <c r="B257" s="1">
        <v>962106.73</v>
      </c>
      <c r="C257" s="1">
        <v>72039.17</v>
      </c>
      <c r="D257" s="1">
        <v>14244.1</v>
      </c>
      <c r="E257" s="1">
        <v>50254</v>
      </c>
      <c r="F257" s="6">
        <v>1.4335012138337246</v>
      </c>
      <c r="G257" t="s">
        <v>466</v>
      </c>
      <c r="H257" t="s">
        <v>127</v>
      </c>
      <c r="I257" t="s">
        <v>430</v>
      </c>
      <c r="J257" s="1">
        <v>19.144878616627533</v>
      </c>
      <c r="K257" s="1">
        <v>0</v>
      </c>
      <c r="L257" s="2">
        <v>0</v>
      </c>
      <c r="M257">
        <v>0.89</v>
      </c>
      <c r="N257">
        <v>0.93</v>
      </c>
      <c r="O257">
        <v>2.15</v>
      </c>
    </row>
    <row r="258" spans="1:15" ht="16" x14ac:dyDescent="0.2">
      <c r="A258" t="s">
        <v>473</v>
      </c>
      <c r="B258" s="1">
        <v>1238275.0900000001</v>
      </c>
      <c r="C258" s="1">
        <v>78542.42</v>
      </c>
      <c r="D258" s="1">
        <v>29107.54</v>
      </c>
      <c r="E258" s="1">
        <v>56481</v>
      </c>
      <c r="F258" s="6">
        <v>1.3905989624829589</v>
      </c>
      <c r="G258" t="s">
        <v>466</v>
      </c>
      <c r="H258" t="s">
        <v>124</v>
      </c>
      <c r="I258" t="s">
        <v>474</v>
      </c>
      <c r="J258" s="1">
        <v>21.923745861440132</v>
      </c>
      <c r="K258" s="1">
        <v>0</v>
      </c>
      <c r="L258" s="2">
        <v>0</v>
      </c>
      <c r="M258">
        <v>0.75</v>
      </c>
      <c r="N258">
        <v>1.57</v>
      </c>
      <c r="O258">
        <v>1.55</v>
      </c>
    </row>
    <row r="259" spans="1:15" ht="16" x14ac:dyDescent="0.2">
      <c r="A259" t="s">
        <v>58</v>
      </c>
      <c r="B259" s="1">
        <v>723392.4</v>
      </c>
      <c r="C259" s="1">
        <v>61741.54</v>
      </c>
      <c r="D259" s="1">
        <v>16617.21</v>
      </c>
      <c r="E259" s="1">
        <v>45000</v>
      </c>
      <c r="F259" s="6">
        <v>1.3720342222222222</v>
      </c>
      <c r="G259" t="s">
        <v>466</v>
      </c>
      <c r="H259" t="s">
        <v>123</v>
      </c>
      <c r="I259" t="s">
        <v>500</v>
      </c>
      <c r="J259" s="1">
        <v>16.075386666666667</v>
      </c>
      <c r="K259" s="1">
        <v>0</v>
      </c>
      <c r="L259" s="2">
        <v>0</v>
      </c>
      <c r="M259">
        <v>0.67</v>
      </c>
      <c r="N259">
        <v>0.95</v>
      </c>
      <c r="O259">
        <v>1.6</v>
      </c>
    </row>
    <row r="260" spans="1:15" ht="16" x14ac:dyDescent="0.2">
      <c r="A260" t="s">
        <v>12</v>
      </c>
      <c r="B260" s="1">
        <v>1154617.0900000001</v>
      </c>
      <c r="C260" s="1">
        <v>84618.77</v>
      </c>
      <c r="D260" s="1">
        <v>16679.27</v>
      </c>
      <c r="E260" s="1">
        <v>61770</v>
      </c>
      <c r="F260" s="6">
        <v>1.3699007608871621</v>
      </c>
      <c r="G260" t="s">
        <v>466</v>
      </c>
      <c r="H260" t="s">
        <v>118</v>
      </c>
      <c r="I260" t="s">
        <v>475</v>
      </c>
      <c r="J260" s="1">
        <v>18.692198316334792</v>
      </c>
      <c r="K260" s="1">
        <v>0</v>
      </c>
      <c r="L260" s="2">
        <v>0</v>
      </c>
      <c r="M260">
        <v>0.12</v>
      </c>
      <c r="N260">
        <v>2.0099999999999998</v>
      </c>
      <c r="O260">
        <v>1.92</v>
      </c>
    </row>
    <row r="261" spans="1:15" ht="16" x14ac:dyDescent="0.2">
      <c r="A261" t="s">
        <v>42</v>
      </c>
      <c r="B261" s="1">
        <v>715751.38</v>
      </c>
      <c r="C261" s="1">
        <v>54388.31</v>
      </c>
      <c r="D261" s="1">
        <v>14583.949999999999</v>
      </c>
      <c r="E261" s="1">
        <v>39991</v>
      </c>
      <c r="F261" s="6">
        <v>1.3600137530944463</v>
      </c>
      <c r="G261" t="s">
        <v>466</v>
      </c>
      <c r="H261" t="s">
        <v>131</v>
      </c>
      <c r="I261" t="s">
        <v>501</v>
      </c>
      <c r="J261" s="1">
        <v>17.897811507589207</v>
      </c>
      <c r="K261" s="1">
        <v>0</v>
      </c>
      <c r="L261" s="2">
        <v>0</v>
      </c>
      <c r="M261">
        <v>0.77</v>
      </c>
      <c r="N261">
        <v>0.64</v>
      </c>
      <c r="O261">
        <v>0.76</v>
      </c>
    </row>
    <row r="262" spans="1:15" ht="16" x14ac:dyDescent="0.2">
      <c r="A262" t="s">
        <v>502</v>
      </c>
      <c r="B262" s="1">
        <v>613741.91</v>
      </c>
      <c r="C262" s="1">
        <v>40856.720000000001</v>
      </c>
      <c r="D262" s="1">
        <v>13287.24</v>
      </c>
      <c r="E262" s="1">
        <v>30539</v>
      </c>
      <c r="F262" s="6">
        <v>1.3378538917449818</v>
      </c>
      <c r="G262" t="s">
        <v>466</v>
      </c>
      <c r="H262" t="s">
        <v>125</v>
      </c>
      <c r="I262" t="s">
        <v>503</v>
      </c>
      <c r="J262" s="1">
        <v>20.096987786109565</v>
      </c>
      <c r="K262" s="1">
        <v>0</v>
      </c>
      <c r="L262" s="2">
        <v>0</v>
      </c>
      <c r="M262">
        <v>0.4</v>
      </c>
      <c r="N262">
        <v>0.8</v>
      </c>
      <c r="O262">
        <v>0.82</v>
      </c>
    </row>
    <row r="263" spans="1:15" ht="16" x14ac:dyDescent="0.2">
      <c r="A263" t="s">
        <v>504</v>
      </c>
      <c r="B263" s="1">
        <v>684821.3</v>
      </c>
      <c r="C263" s="1">
        <v>46667.65</v>
      </c>
      <c r="D263" s="1">
        <v>12988.21</v>
      </c>
      <c r="E263" s="1">
        <v>35190</v>
      </c>
      <c r="F263" s="6">
        <v>1.3261622620062519</v>
      </c>
      <c r="G263" t="s">
        <v>466</v>
      </c>
      <c r="H263" t="s">
        <v>121</v>
      </c>
      <c r="I263" t="s">
        <v>505</v>
      </c>
      <c r="J263" s="1">
        <v>19.460679170218814</v>
      </c>
      <c r="K263" s="1">
        <v>0</v>
      </c>
      <c r="L263" s="2">
        <v>0</v>
      </c>
      <c r="M263">
        <v>0.87</v>
      </c>
      <c r="N263">
        <v>0.25</v>
      </c>
      <c r="O263">
        <v>0.87</v>
      </c>
    </row>
    <row r="264" spans="1:15" ht="16" x14ac:dyDescent="0.2">
      <c r="A264" t="s">
        <v>476</v>
      </c>
      <c r="B264" s="1">
        <v>1184607.28</v>
      </c>
      <c r="C264" s="1">
        <v>83812.52</v>
      </c>
      <c r="D264" s="1">
        <v>27554.98</v>
      </c>
      <c r="E264" s="1">
        <v>66131</v>
      </c>
      <c r="F264" s="6">
        <v>1.2673711270054893</v>
      </c>
      <c r="G264" t="s">
        <v>466</v>
      </c>
      <c r="H264" t="s">
        <v>206</v>
      </c>
      <c r="I264" t="s">
        <v>477</v>
      </c>
      <c r="J264" s="1">
        <v>17.913040480258882</v>
      </c>
      <c r="K264" s="1">
        <v>0</v>
      </c>
      <c r="L264" s="2">
        <v>0</v>
      </c>
      <c r="M264">
        <v>0.85</v>
      </c>
      <c r="N264">
        <v>2.11</v>
      </c>
      <c r="O264">
        <v>1.78</v>
      </c>
    </row>
    <row r="265" spans="1:15" ht="16" x14ac:dyDescent="0.2">
      <c r="A265" t="s">
        <v>478</v>
      </c>
      <c r="B265" s="1">
        <v>996686.21</v>
      </c>
      <c r="C265" s="1">
        <v>80227.570000000007</v>
      </c>
      <c r="D265" s="1">
        <v>14491.86</v>
      </c>
      <c r="E265" s="1">
        <v>65059</v>
      </c>
      <c r="F265" s="6">
        <v>1.2331509860280669</v>
      </c>
      <c r="G265" t="s">
        <v>466</v>
      </c>
      <c r="H265" t="s">
        <v>118</v>
      </c>
      <c r="I265" t="s">
        <v>479</v>
      </c>
      <c r="J265" s="1">
        <v>15.319728400375043</v>
      </c>
      <c r="K265" s="1">
        <v>0</v>
      </c>
      <c r="L265" s="2">
        <v>0</v>
      </c>
      <c r="M265">
        <v>0.73</v>
      </c>
      <c r="N265">
        <v>1.73</v>
      </c>
      <c r="O265">
        <v>1.93</v>
      </c>
    </row>
    <row r="266" spans="1:15" ht="16" x14ac:dyDescent="0.2">
      <c r="A266" t="s">
        <v>506</v>
      </c>
      <c r="B266" s="1">
        <v>668739.31000000006</v>
      </c>
      <c r="C266" s="1">
        <v>40229.5</v>
      </c>
      <c r="D266" s="1">
        <v>11506.720000000001</v>
      </c>
      <c r="E266" s="1">
        <v>32414</v>
      </c>
      <c r="F266" s="6">
        <v>1.2411149503301042</v>
      </c>
      <c r="G266" t="s">
        <v>466</v>
      </c>
      <c r="H266" t="s">
        <v>124</v>
      </c>
      <c r="I266" t="s">
        <v>507</v>
      </c>
      <c r="J266" s="1">
        <v>20.631187449867344</v>
      </c>
      <c r="K266" s="1">
        <v>-2756.6502400000022</v>
      </c>
      <c r="L266" s="2">
        <v>6.8523104686859196E-2</v>
      </c>
      <c r="M266">
        <v>0.73</v>
      </c>
      <c r="N266" t="s">
        <v>544</v>
      </c>
      <c r="O266">
        <v>0.85</v>
      </c>
    </row>
    <row r="267" spans="1:15" ht="16" x14ac:dyDescent="0.2">
      <c r="A267" t="s">
        <v>66</v>
      </c>
      <c r="B267" s="1">
        <v>639134.19999999995</v>
      </c>
      <c r="C267" s="1">
        <v>46372</v>
      </c>
      <c r="D267" s="1">
        <v>11592.23</v>
      </c>
      <c r="E267" s="1">
        <v>37496</v>
      </c>
      <c r="F267" s="6">
        <v>1.2367185833155536</v>
      </c>
      <c r="G267" t="s">
        <v>466</v>
      </c>
      <c r="H267" t="s">
        <v>130</v>
      </c>
      <c r="I267" t="s">
        <v>508</v>
      </c>
      <c r="J267" s="1">
        <v>17.045396842329847</v>
      </c>
      <c r="K267" s="1">
        <v>-3353.6953600000015</v>
      </c>
      <c r="L267" s="2">
        <v>7.2321559561804569E-2</v>
      </c>
      <c r="M267">
        <v>0.87</v>
      </c>
      <c r="N267" t="s">
        <v>544</v>
      </c>
      <c r="O267">
        <v>0.76</v>
      </c>
    </row>
    <row r="268" spans="1:15" ht="16" x14ac:dyDescent="0.2">
      <c r="A268" t="s">
        <v>533</v>
      </c>
      <c r="B268" s="1">
        <v>395105.9</v>
      </c>
      <c r="C268" s="1">
        <v>38469.39</v>
      </c>
      <c r="D268" s="1">
        <v>8309.5399999999991</v>
      </c>
      <c r="E268" s="1">
        <v>25875</v>
      </c>
      <c r="F268" s="6">
        <v>1.4867397101449276</v>
      </c>
      <c r="G268" t="s">
        <v>466</v>
      </c>
      <c r="H268" t="s">
        <v>131</v>
      </c>
      <c r="I268" t="s">
        <v>534</v>
      </c>
      <c r="J268" s="1">
        <v>15.269793236714976</v>
      </c>
      <c r="K268" s="1">
        <v>-4573.6724999999988</v>
      </c>
      <c r="L268" s="2">
        <v>0.11889121454746225</v>
      </c>
      <c r="M268">
        <v>0.48</v>
      </c>
      <c r="N268">
        <v>0.26</v>
      </c>
      <c r="O268">
        <v>0.83</v>
      </c>
    </row>
    <row r="269" spans="1:15" ht="16" x14ac:dyDescent="0.2">
      <c r="A269" t="s">
        <v>531</v>
      </c>
      <c r="B269" s="1">
        <v>435434.82</v>
      </c>
      <c r="C269" s="1">
        <v>41937.32</v>
      </c>
      <c r="D269" s="1">
        <v>7698.83</v>
      </c>
      <c r="E269" s="1">
        <v>28002</v>
      </c>
      <c r="F269" s="6">
        <v>1.4976544532533391</v>
      </c>
      <c r="G269" t="s">
        <v>466</v>
      </c>
      <c r="H269" t="s">
        <v>123</v>
      </c>
      <c r="I269" t="s">
        <v>532</v>
      </c>
      <c r="J269" s="1">
        <v>15.550132847653739</v>
      </c>
      <c r="K269" s="1">
        <v>-4644.0069999999969</v>
      </c>
      <c r="L269" s="2">
        <v>0.11073685681393081</v>
      </c>
      <c r="M269">
        <v>0.82</v>
      </c>
      <c r="N269" t="s">
        <v>544</v>
      </c>
      <c r="O269">
        <v>0</v>
      </c>
    </row>
    <row r="270" spans="1:15" ht="16" x14ac:dyDescent="0.2">
      <c r="A270" t="s">
        <v>509</v>
      </c>
      <c r="B270" s="1">
        <v>619135.29</v>
      </c>
      <c r="C270" s="1">
        <v>39601.730000000003</v>
      </c>
      <c r="D270" s="1">
        <v>11735.91</v>
      </c>
      <c r="E270" s="1">
        <v>33370</v>
      </c>
      <c r="F270" s="6">
        <v>1.1867464788732396</v>
      </c>
      <c r="G270" t="s">
        <v>466</v>
      </c>
      <c r="H270" t="s">
        <v>132</v>
      </c>
      <c r="I270" t="s">
        <v>510</v>
      </c>
      <c r="J270" s="1">
        <v>18.553649685346119</v>
      </c>
      <c r="K270" s="1">
        <v>-4652.2291999999952</v>
      </c>
      <c r="L270" s="2">
        <v>0.11747540322102076</v>
      </c>
      <c r="M270">
        <v>0.86</v>
      </c>
      <c r="N270" t="s">
        <v>544</v>
      </c>
      <c r="O270">
        <v>0.87</v>
      </c>
    </row>
    <row r="271" spans="1:15" ht="16" x14ac:dyDescent="0.2">
      <c r="A271" t="s">
        <v>511</v>
      </c>
      <c r="B271" s="1">
        <v>636303.37</v>
      </c>
      <c r="C271" s="1">
        <v>39173.51</v>
      </c>
      <c r="D271" s="1">
        <v>10283.450000000001</v>
      </c>
      <c r="E271" s="1">
        <v>34080</v>
      </c>
      <c r="F271" s="6">
        <v>1.1494574530516433</v>
      </c>
      <c r="G271" t="s">
        <v>466</v>
      </c>
      <c r="H271" t="s">
        <v>126</v>
      </c>
      <c r="I271" t="s">
        <v>512</v>
      </c>
      <c r="J271" s="1">
        <v>18.670873532863851</v>
      </c>
      <c r="K271" s="1">
        <v>-6022.0227999999979</v>
      </c>
      <c r="L271" s="2">
        <v>0.15372691392729418</v>
      </c>
      <c r="M271">
        <v>0.09</v>
      </c>
      <c r="N271">
        <v>1.77</v>
      </c>
      <c r="O271" t="s">
        <v>544</v>
      </c>
    </row>
    <row r="272" spans="1:15" ht="16" x14ac:dyDescent="0.2">
      <c r="A272" t="s">
        <v>14</v>
      </c>
      <c r="B272" s="1">
        <v>945226.53</v>
      </c>
      <c r="C272" s="1">
        <v>56116.91</v>
      </c>
      <c r="D272" s="1">
        <v>19263.03</v>
      </c>
      <c r="E272" s="1">
        <v>50640</v>
      </c>
      <c r="F272" s="6">
        <v>1.1081538309636652</v>
      </c>
      <c r="G272" t="s">
        <v>466</v>
      </c>
      <c r="H272" t="s">
        <v>129</v>
      </c>
      <c r="I272" t="s">
        <v>482</v>
      </c>
      <c r="J272" s="1">
        <v>18.665610781990523</v>
      </c>
      <c r="K272" s="1">
        <v>-6329.805999999995</v>
      </c>
      <c r="L272" s="2">
        <v>0.11279676660742714</v>
      </c>
      <c r="M272">
        <v>0.89</v>
      </c>
      <c r="N272">
        <v>0.86</v>
      </c>
      <c r="O272">
        <v>0.8</v>
      </c>
    </row>
    <row r="273" spans="1:15" ht="16" x14ac:dyDescent="0.2">
      <c r="A273" t="s">
        <v>480</v>
      </c>
      <c r="B273" s="1">
        <v>1078621.3500000001</v>
      </c>
      <c r="C273" s="1">
        <v>69369.41</v>
      </c>
      <c r="D273" s="1">
        <v>18332.240000000002</v>
      </c>
      <c r="E273" s="1">
        <v>61705</v>
      </c>
      <c r="F273" s="6">
        <v>1.1242105177862411</v>
      </c>
      <c r="G273" t="s">
        <v>466</v>
      </c>
      <c r="H273" t="s">
        <v>127</v>
      </c>
      <c r="I273" t="s">
        <v>481</v>
      </c>
      <c r="J273" s="1">
        <v>17.480290900251198</v>
      </c>
      <c r="K273" s="1">
        <v>-6722.110749999988</v>
      </c>
      <c r="L273" s="2">
        <v>9.6903098210003341E-2</v>
      </c>
      <c r="M273">
        <v>0.89</v>
      </c>
      <c r="N273">
        <v>1.1299999999999999</v>
      </c>
      <c r="O273">
        <v>0.82</v>
      </c>
    </row>
    <row r="274" spans="1:15" ht="16" x14ac:dyDescent="0.2">
      <c r="A274" t="s">
        <v>535</v>
      </c>
      <c r="B274" s="1">
        <v>486235.51</v>
      </c>
      <c r="C274" s="1">
        <v>38685.089999999997</v>
      </c>
      <c r="D274" s="1">
        <v>9628.65</v>
      </c>
      <c r="E274" s="1">
        <v>28379</v>
      </c>
      <c r="F274" s="6">
        <v>1.3631590260403819</v>
      </c>
      <c r="G274" t="s">
        <v>466</v>
      </c>
      <c r="H274" t="s">
        <v>129</v>
      </c>
      <c r="I274" t="s">
        <v>536</v>
      </c>
      <c r="J274" s="1">
        <v>17.133637901265022</v>
      </c>
      <c r="K274" s="1">
        <v>-8523.3765000000021</v>
      </c>
      <c r="L274" s="2">
        <v>0.22032717256183204</v>
      </c>
      <c r="M274">
        <v>0.87</v>
      </c>
      <c r="N274" t="s">
        <v>544</v>
      </c>
      <c r="O274" t="s">
        <v>544</v>
      </c>
    </row>
    <row r="276" spans="1:15" x14ac:dyDescent="0.2">
      <c r="F276" t="e">
        <f>CORREL(F234:F274,#REF!)</f>
        <v>#REF!</v>
      </c>
    </row>
  </sheetData>
  <autoFilter ref="A4:L105" xr:uid="{00000000-0001-0000-0000-000000000000}">
    <filterColumn colId="1">
      <customFilters and="1">
        <customFilter operator="greaterThan" val="1203396"/>
        <customFilter operator="lessThan" val="1576340"/>
      </customFilters>
    </filterColumn>
    <sortState xmlns:xlrd2="http://schemas.microsoft.com/office/spreadsheetml/2017/richdata2" ref="A30:L78">
      <sortCondition descending="1" ref="B4:B105"/>
    </sortState>
  </autoFilter>
  <conditionalFormatting sqref="K5:K103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108:K165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170:K229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234:K274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7:N103">
    <cfRule type="colorScale" priority="2">
      <colorScale>
        <cfvo type="min"/>
        <cfvo type="max"/>
        <color rgb="FFFCFCFF"/>
        <color rgb="FF63BE7B"/>
      </colorScale>
    </cfRule>
  </conditionalFormatting>
  <conditionalFormatting sqref="O7:O10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160296B5-624C-3540-95CF-3D9FB6BA37AD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J5:J103</xm:sqref>
        </x14:conditionalFormatting>
        <x14:conditionalFormatting xmlns:xm="http://schemas.microsoft.com/office/excel/2006/main">
          <x14:cfRule type="iconSet" priority="10" id="{815AF379-E797-614F-81F6-C02D56D85B4D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J170:J229</xm:sqref>
        </x14:conditionalFormatting>
        <x14:conditionalFormatting xmlns:xm="http://schemas.microsoft.com/office/excel/2006/main">
          <x14:cfRule type="iconSet" priority="9" id="{4D933956-3949-6B45-B5FC-13E6B2B18745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J234:J274</xm:sqref>
        </x14:conditionalFormatting>
        <x14:conditionalFormatting xmlns:xm="http://schemas.microsoft.com/office/excel/2006/main">
          <x14:cfRule type="iconSet" priority="8" id="{1EBF90B6-3BD7-AE41-A396-5979C8D61666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J109:J165</xm:sqref>
        </x14:conditionalFormatting>
        <x14:conditionalFormatting xmlns:xm="http://schemas.microsoft.com/office/excel/2006/main">
          <x14:cfRule type="iconSet" priority="7" id="{F50B59E0-D43B-8446-BB7A-731D3C277773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J108</xm:sqref>
        </x14:conditionalFormatting>
        <x14:conditionalFormatting xmlns:xm="http://schemas.microsoft.com/office/excel/2006/main">
          <x14:cfRule type="iconSet" priority="6" id="{BBDB3A96-ADF8-A446-98DA-61C4904D4698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B5:B103</xm:sqref>
        </x14:conditionalFormatting>
        <x14:conditionalFormatting xmlns:xm="http://schemas.microsoft.com/office/excel/2006/main">
          <x14:cfRule type="iconSet" priority="5" id="{12D0F71E-65A2-8D43-B622-91C96FF2BBE5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B108:B165</xm:sqref>
        </x14:conditionalFormatting>
        <x14:conditionalFormatting xmlns:xm="http://schemas.microsoft.com/office/excel/2006/main">
          <x14:cfRule type="iconSet" priority="4" id="{3BC3ADBA-1F83-D84D-8C54-7BA1692F4758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B170:B229</xm:sqref>
        </x14:conditionalFormatting>
        <x14:conditionalFormatting xmlns:xm="http://schemas.microsoft.com/office/excel/2006/main">
          <x14:cfRule type="iconSet" priority="3" id="{DE3E3691-ECCD-5648-A1A1-F3968B297075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B234:B274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Dana Svatkova</cp:lastModifiedBy>
  <dcterms:created xsi:type="dcterms:W3CDTF">2021-10-25T08:33:07Z</dcterms:created>
  <dcterms:modified xsi:type="dcterms:W3CDTF">2021-11-06T19:08:27Z</dcterms:modified>
  <cp:category/>
</cp:coreProperties>
</file>