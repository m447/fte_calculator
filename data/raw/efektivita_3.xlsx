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"/>
    </mc:Choice>
  </mc:AlternateContent>
  <xr:revisionPtr revIDLastSave="0" documentId="13_ncr:40009_{13F56AAB-3AF4-BC4D-BE85-656ED32BCB49}" xr6:coauthVersionLast="47" xr6:coauthVersionMax="47" xr10:uidLastSave="{00000000-0000-0000-0000-000000000000}"/>
  <bookViews>
    <workbookView xWindow="0" yWindow="0" windowWidth="51200" windowHeight="28800"/>
  </bookViews>
  <sheets>
    <sheet name="shop" sheetId="1" r:id="rId1"/>
  </sheets>
  <definedNames>
    <definedName name="_xlnm._FilterDatabase" localSheetId="0" hidden="1">shop!$A$1:$X$287</definedName>
    <definedName name="_xlchart.v1.0" hidden="1">shop!$J$26:$J$286</definedName>
    <definedName name="_xlchart.v1.1" hidden="1">shop!$K$26:$K$286</definedName>
    <definedName name="_xlchart.v1.2" hidden="1">shop!$K$26:$K$286</definedName>
    <definedName name="_xlchart.v1.3" hidden="1">shop!$K$26:$K$286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6" i="1" l="1"/>
  <c r="X247" i="1"/>
  <c r="X199" i="1"/>
  <c r="X36" i="1"/>
  <c r="X65" i="1"/>
  <c r="X70" i="1"/>
  <c r="X50" i="1"/>
  <c r="X61" i="1"/>
  <c r="X182" i="1"/>
  <c r="X53" i="1"/>
  <c r="X160" i="1"/>
  <c r="X4" i="1"/>
  <c r="X278" i="1"/>
  <c r="X19" i="1"/>
  <c r="X284" i="1"/>
  <c r="X125" i="1"/>
  <c r="X43" i="1"/>
  <c r="X197" i="1"/>
  <c r="X54" i="1"/>
  <c r="X91" i="1"/>
  <c r="X11" i="1"/>
  <c r="X85" i="1"/>
  <c r="X25" i="1"/>
  <c r="X210" i="1"/>
  <c r="X87" i="1"/>
  <c r="X173" i="1"/>
  <c r="X101" i="1"/>
  <c r="X253" i="1"/>
  <c r="X149" i="1"/>
  <c r="X115" i="1"/>
  <c r="X119" i="1"/>
  <c r="X57" i="1"/>
  <c r="X80" i="1"/>
  <c r="X18" i="1"/>
  <c r="X56" i="1"/>
  <c r="X241" i="1"/>
  <c r="X12" i="1"/>
  <c r="X196" i="1"/>
  <c r="X44" i="1"/>
  <c r="X231" i="1"/>
  <c r="X32" i="1"/>
  <c r="X74" i="1"/>
  <c r="X66" i="1"/>
  <c r="X134" i="1"/>
  <c r="X84" i="1"/>
  <c r="X224" i="1"/>
  <c r="X78" i="1"/>
  <c r="X156" i="1"/>
  <c r="X223" i="1"/>
  <c r="X60" i="1"/>
  <c r="X217" i="1"/>
  <c r="X186" i="1"/>
  <c r="X127" i="1"/>
  <c r="X108" i="1"/>
  <c r="X180" i="1"/>
  <c r="X264" i="1"/>
  <c r="X240" i="1"/>
  <c r="X64" i="1"/>
  <c r="X262" i="1"/>
  <c r="X46" i="1"/>
  <c r="X236" i="1"/>
  <c r="X109" i="1"/>
  <c r="X5" i="1"/>
  <c r="X261" i="1"/>
  <c r="X237" i="1"/>
  <c r="X248" i="1"/>
  <c r="X99" i="1"/>
  <c r="X90" i="1"/>
  <c r="X191" i="1"/>
  <c r="X158" i="1"/>
  <c r="X219" i="1"/>
  <c r="X276" i="1"/>
  <c r="X265" i="1"/>
  <c r="X97" i="1"/>
  <c r="X270" i="1"/>
  <c r="X140" i="1"/>
  <c r="X137" i="1"/>
  <c r="X144" i="1"/>
  <c r="X37" i="1"/>
  <c r="X34" i="1"/>
  <c r="X93" i="1"/>
  <c r="X73" i="1"/>
  <c r="X130" i="1"/>
  <c r="X105" i="1"/>
  <c r="X279" i="1"/>
  <c r="X45" i="1"/>
  <c r="X75" i="1"/>
  <c r="X104" i="1"/>
  <c r="X48" i="1"/>
  <c r="X242" i="1"/>
  <c r="X143" i="1"/>
  <c r="X31" i="1"/>
  <c r="X7" i="1"/>
  <c r="X67" i="1"/>
  <c r="X286" i="1"/>
  <c r="X151" i="1"/>
  <c r="X214" i="1"/>
  <c r="X266" i="1"/>
  <c r="X239" i="1"/>
  <c r="X238" i="1"/>
  <c r="X138" i="1"/>
  <c r="X126" i="1"/>
  <c r="X47" i="1"/>
  <c r="X166" i="1"/>
  <c r="X21" i="1"/>
  <c r="X267" i="1"/>
  <c r="X28" i="1"/>
  <c r="X63" i="1"/>
  <c r="X8" i="1"/>
  <c r="X62" i="1"/>
  <c r="X9" i="1"/>
  <c r="X26" i="1"/>
  <c r="X154" i="1"/>
  <c r="X122" i="1"/>
  <c r="X110" i="1"/>
  <c r="X23" i="1"/>
  <c r="X254" i="1"/>
  <c r="X132" i="1"/>
  <c r="X68" i="1"/>
  <c r="X113" i="1"/>
  <c r="X204" i="1"/>
  <c r="X40" i="1"/>
  <c r="X38" i="1"/>
  <c r="X39" i="1"/>
  <c r="X51" i="1"/>
  <c r="X193" i="1"/>
  <c r="X141" i="1"/>
  <c r="X230" i="1"/>
  <c r="X16" i="1"/>
  <c r="X145" i="1"/>
  <c r="X162" i="1"/>
  <c r="X102" i="1"/>
  <c r="X2" i="1"/>
  <c r="X168" i="1"/>
  <c r="X172" i="1"/>
  <c r="X15" i="1"/>
  <c r="X169" i="1"/>
  <c r="X229" i="1"/>
  <c r="X146" i="1"/>
  <c r="X129" i="1"/>
  <c r="X273" i="1"/>
  <c r="X163" i="1"/>
  <c r="X179" i="1"/>
  <c r="X49" i="1"/>
  <c r="X269" i="1"/>
  <c r="X165" i="1"/>
  <c r="X245" i="1"/>
  <c r="X3" i="1"/>
  <c r="X10" i="1"/>
  <c r="X226" i="1"/>
  <c r="X211" i="1"/>
  <c r="X171" i="1"/>
  <c r="X220" i="1"/>
  <c r="X6" i="1"/>
  <c r="X17" i="1"/>
  <c r="X24" i="1"/>
  <c r="X232" i="1"/>
  <c r="X234" i="1"/>
  <c r="X95" i="1"/>
  <c r="X121" i="1"/>
  <c r="X128" i="1"/>
  <c r="X181" i="1"/>
  <c r="X77" i="1"/>
  <c r="X251" i="1"/>
  <c r="X258" i="1"/>
  <c r="X250" i="1"/>
  <c r="X107" i="1"/>
  <c r="X187" i="1"/>
  <c r="X83" i="1"/>
  <c r="X41" i="1"/>
  <c r="X201" i="1"/>
  <c r="X216" i="1"/>
  <c r="X252" i="1"/>
  <c r="X112" i="1"/>
  <c r="X285" i="1"/>
  <c r="X281" i="1"/>
  <c r="X88" i="1"/>
  <c r="X177" i="1"/>
  <c r="X202" i="1"/>
  <c r="X259" i="1"/>
  <c r="X13" i="1"/>
  <c r="X147" i="1"/>
  <c r="X79" i="1"/>
  <c r="X260" i="1"/>
  <c r="X114" i="1"/>
  <c r="X221" i="1"/>
  <c r="X218" i="1"/>
  <c r="X81" i="1"/>
  <c r="X161" i="1"/>
  <c r="X116" i="1"/>
  <c r="X194" i="1"/>
  <c r="X106" i="1"/>
  <c r="X227" i="1"/>
  <c r="X167" i="1"/>
  <c r="X222" i="1"/>
  <c r="X178" i="1"/>
  <c r="X76" i="1"/>
  <c r="X170" i="1"/>
  <c r="X263" i="1"/>
  <c r="X82" i="1"/>
  <c r="X190" i="1"/>
  <c r="X52" i="1"/>
  <c r="X282" i="1"/>
  <c r="X120" i="1"/>
  <c r="X189" i="1"/>
  <c r="X142" i="1"/>
  <c r="X203" i="1"/>
  <c r="X235" i="1"/>
  <c r="X155" i="1"/>
  <c r="X228" i="1"/>
  <c r="X185" i="1"/>
  <c r="X188" i="1"/>
  <c r="X33" i="1"/>
  <c r="X212" i="1"/>
  <c r="X111" i="1"/>
  <c r="X58" i="1"/>
  <c r="X257" i="1"/>
  <c r="X209" i="1"/>
  <c r="X42" i="1"/>
  <c r="X117" i="1"/>
  <c r="X233" i="1"/>
  <c r="X195" i="1"/>
  <c r="X71" i="1"/>
  <c r="X208" i="1"/>
  <c r="X207" i="1"/>
  <c r="X72" i="1"/>
  <c r="X283" i="1"/>
  <c r="X148" i="1"/>
  <c r="X198" i="1"/>
  <c r="X268" i="1"/>
  <c r="X30" i="1"/>
  <c r="X215" i="1"/>
  <c r="X244" i="1"/>
  <c r="X96" i="1"/>
  <c r="X174" i="1"/>
  <c r="X225" i="1"/>
  <c r="X131" i="1"/>
  <c r="X287" i="1"/>
  <c r="X98" i="1"/>
  <c r="X100" i="1"/>
  <c r="X249" i="1"/>
  <c r="X205" i="1"/>
  <c r="X124" i="1"/>
  <c r="X184" i="1"/>
  <c r="X272" i="1"/>
  <c r="X243" i="1"/>
  <c r="X277" i="1"/>
  <c r="X206" i="1"/>
  <c r="X192" i="1"/>
  <c r="X133" i="1"/>
  <c r="X103" i="1"/>
  <c r="X55" i="1"/>
  <c r="X159" i="1"/>
  <c r="X123" i="1"/>
  <c r="X274" i="1"/>
  <c r="X22" i="1"/>
  <c r="X118" i="1"/>
  <c r="X59" i="1"/>
  <c r="X152" i="1"/>
  <c r="X27" i="1"/>
  <c r="X14" i="1"/>
  <c r="X213" i="1"/>
  <c r="X69" i="1"/>
  <c r="X275" i="1"/>
  <c r="X20" i="1"/>
  <c r="X153" i="1"/>
  <c r="X35" i="1"/>
  <c r="X280" i="1"/>
  <c r="X157" i="1"/>
  <c r="X271" i="1"/>
  <c r="X86" i="1"/>
  <c r="X135" i="1"/>
  <c r="X92" i="1"/>
  <c r="X164" i="1"/>
  <c r="X256" i="1"/>
  <c r="X183" i="1"/>
  <c r="X175" i="1"/>
  <c r="X150" i="1"/>
  <c r="X94" i="1"/>
  <c r="X200" i="1"/>
  <c r="X139" i="1"/>
  <c r="X255" i="1"/>
  <c r="X136" i="1"/>
  <c r="X89" i="1"/>
  <c r="C202" i="1"/>
  <c r="C71" i="1"/>
  <c r="C281" i="1"/>
  <c r="C205" i="1"/>
  <c r="C285" i="1"/>
  <c r="C277" i="1"/>
  <c r="C47" i="1"/>
  <c r="C286" i="1"/>
  <c r="C86" i="1"/>
  <c r="C153" i="1"/>
  <c r="C162" i="1"/>
  <c r="C252" i="1"/>
  <c r="C216" i="1"/>
  <c r="C184" i="1"/>
  <c r="C152" i="1"/>
  <c r="C189" i="1"/>
  <c r="C155" i="1"/>
  <c r="C243" i="1"/>
  <c r="C188" i="1"/>
  <c r="C124" i="1"/>
  <c r="C103" i="1"/>
  <c r="C174" i="1"/>
  <c r="C138" i="1"/>
  <c r="C106" i="1"/>
  <c r="C257" i="1"/>
  <c r="C274" i="1"/>
  <c r="C201" i="1"/>
  <c r="C221" i="1"/>
  <c r="C42" i="1"/>
  <c r="C69" i="1"/>
  <c r="C259" i="1"/>
  <c r="C102" i="1"/>
  <c r="C41" i="1"/>
  <c r="C183" i="1"/>
  <c r="C88" i="1"/>
  <c r="C147" i="1"/>
  <c r="C93" i="1"/>
  <c r="C83" i="1"/>
  <c r="C117" i="1"/>
  <c r="C212" i="1"/>
  <c r="C187" i="1"/>
  <c r="C76" i="1"/>
  <c r="C214" i="1"/>
  <c r="C27" i="1"/>
  <c r="C282" i="1"/>
  <c r="C262" i="1"/>
  <c r="C238" i="1"/>
  <c r="C107" i="1"/>
  <c r="C209" i="1"/>
  <c r="C255" i="1"/>
  <c r="C87" i="1"/>
  <c r="C250" i="1"/>
  <c r="C258" i="1"/>
  <c r="C251" i="1"/>
  <c r="C215" i="1"/>
  <c r="C244" i="1"/>
  <c r="C268" i="1"/>
  <c r="C158" i="1"/>
  <c r="C92" i="1"/>
  <c r="C181" i="1"/>
  <c r="C185" i="1"/>
  <c r="C249" i="1"/>
  <c r="C128" i="1"/>
  <c r="C219" i="1"/>
  <c r="C95" i="1"/>
  <c r="C239" i="1"/>
  <c r="C168" i="1"/>
  <c r="C172" i="1"/>
  <c r="C275" i="1"/>
  <c r="C48" i="1"/>
  <c r="C260" i="1"/>
  <c r="C129" i="1"/>
  <c r="C208" i="1"/>
  <c r="C261" i="1"/>
  <c r="C232" i="1"/>
  <c r="C167" i="1"/>
  <c r="C170" i="1"/>
  <c r="C235" i="1"/>
  <c r="C175" i="1"/>
  <c r="C225" i="1"/>
  <c r="C271" i="1"/>
  <c r="C264" i="1"/>
  <c r="C206" i="1"/>
  <c r="C163" i="1"/>
  <c r="C3" i="1"/>
  <c r="C97" i="1"/>
  <c r="C248" i="1"/>
  <c r="C90" i="1"/>
  <c r="C213" i="1"/>
  <c r="C159" i="1"/>
  <c r="C6" i="1"/>
  <c r="C99" i="1"/>
  <c r="C67" i="1"/>
  <c r="C276" i="1"/>
  <c r="C127" i="1"/>
  <c r="C140" i="1"/>
  <c r="C98" i="1"/>
  <c r="C220" i="1"/>
  <c r="C270" i="1"/>
  <c r="C57" i="1"/>
  <c r="C218" i="1"/>
  <c r="C171" i="1"/>
  <c r="C143" i="1"/>
  <c r="C207" i="1"/>
  <c r="C142" i="1"/>
  <c r="C157" i="1"/>
  <c r="C228" i="1"/>
  <c r="C130" i="1"/>
  <c r="C211" i="1"/>
  <c r="C287" i="1"/>
  <c r="C32" i="1"/>
  <c r="C226" i="1"/>
  <c r="C222" i="1"/>
  <c r="C227" i="1"/>
  <c r="C263" i="1"/>
  <c r="C186" i="1"/>
  <c r="C109" i="1"/>
  <c r="C10" i="1"/>
  <c r="C17" i="1"/>
  <c r="C24" i="1"/>
  <c r="C210" i="1"/>
  <c r="C279" i="1"/>
  <c r="C245" i="1"/>
  <c r="C85" i="1"/>
  <c r="C165" i="1"/>
  <c r="C178" i="1"/>
  <c r="C269" i="1"/>
  <c r="C49" i="1"/>
  <c r="C217" i="1"/>
  <c r="C179" i="1"/>
  <c r="C14" i="1"/>
  <c r="C284" i="1"/>
  <c r="C173" i="1"/>
  <c r="C54" i="1"/>
  <c r="C80" i="1"/>
  <c r="C273" i="1"/>
  <c r="C100" i="1"/>
  <c r="C237" i="1"/>
  <c r="C66" i="1"/>
  <c r="C236" i="1"/>
  <c r="C37" i="1"/>
  <c r="C161" i="1"/>
  <c r="C247" i="1"/>
  <c r="C4" i="1"/>
  <c r="C253" i="1"/>
  <c r="C233" i="1"/>
  <c r="C283" i="1"/>
  <c r="C146" i="1"/>
  <c r="C180" i="1"/>
  <c r="C234" i="1"/>
  <c r="C5" i="1"/>
  <c r="C229" i="1"/>
  <c r="C151" i="1"/>
  <c r="C169" i="1"/>
  <c r="C278" i="1"/>
  <c r="C223" i="1"/>
  <c r="C15" i="1"/>
  <c r="C231" i="1"/>
  <c r="C177" i="1"/>
  <c r="C105" i="1"/>
  <c r="C119" i="1"/>
  <c r="C182" i="1"/>
  <c r="C29" i="1"/>
  <c r="C53" i="1"/>
  <c r="C116" i="1"/>
  <c r="C7" i="1"/>
  <c r="C121" i="1"/>
  <c r="C84" i="1"/>
  <c r="C197" i="1"/>
  <c r="C104" i="1"/>
  <c r="C164" i="1"/>
  <c r="C246" i="1"/>
  <c r="C115" i="1"/>
  <c r="C101" i="1"/>
  <c r="C2" i="1"/>
  <c r="C43" i="1"/>
  <c r="C199" i="1"/>
  <c r="C242" i="1"/>
  <c r="C77" i="1"/>
  <c r="C137" i="1"/>
  <c r="C108" i="1"/>
  <c r="C11" i="1"/>
  <c r="C65" i="1"/>
  <c r="C224" i="1"/>
  <c r="C241" i="1"/>
  <c r="C240" i="1"/>
  <c r="C160" i="1"/>
  <c r="C25" i="1"/>
  <c r="C89" i="1"/>
  <c r="C70" i="1"/>
  <c r="C148" i="1"/>
  <c r="C91" i="1"/>
  <c r="C19" i="1"/>
  <c r="C50" i="1"/>
  <c r="C61" i="1"/>
  <c r="C125" i="1"/>
  <c r="C131" i="1"/>
  <c r="C145" i="1"/>
  <c r="C16" i="1"/>
  <c r="C149" i="1"/>
  <c r="C133" i="1"/>
  <c r="C64" i="1"/>
  <c r="C230" i="1"/>
  <c r="C141" i="1"/>
  <c r="C192" i="1"/>
  <c r="C13" i="1"/>
  <c r="C193" i="1"/>
  <c r="C52" i="1"/>
  <c r="C96" i="1"/>
  <c r="C81" i="1"/>
  <c r="C156" i="1"/>
  <c r="C51" i="1"/>
  <c r="C58" i="1"/>
  <c r="C73" i="1"/>
  <c r="C39" i="1"/>
  <c r="C194" i="1"/>
  <c r="C33" i="1"/>
  <c r="C38" i="1"/>
  <c r="C112" i="1"/>
  <c r="C176" i="1"/>
  <c r="C40" i="1"/>
  <c r="C280" i="1"/>
  <c r="C45" i="1"/>
  <c r="C272" i="1"/>
  <c r="C36" i="1"/>
  <c r="C79" i="1"/>
  <c r="C204" i="1"/>
  <c r="C166" i="1"/>
  <c r="C113" i="1"/>
  <c r="C144" i="1"/>
  <c r="C195" i="1"/>
  <c r="C82" i="1"/>
  <c r="C68" i="1"/>
  <c r="C190" i="1"/>
  <c r="C132" i="1"/>
  <c r="C265" i="1"/>
  <c r="C191" i="1"/>
  <c r="C203" i="1"/>
  <c r="C120" i="1"/>
  <c r="C198" i="1"/>
  <c r="C135" i="1"/>
  <c r="C111" i="1"/>
  <c r="C254" i="1"/>
  <c r="C46" i="1"/>
  <c r="C23" i="1"/>
  <c r="C72" i="1"/>
  <c r="C74" i="1"/>
  <c r="C110" i="1"/>
  <c r="C78" i="1"/>
  <c r="C196" i="1"/>
  <c r="C266" i="1"/>
  <c r="C122" i="1"/>
  <c r="C154" i="1"/>
  <c r="C26" i="1"/>
  <c r="C114" i="1"/>
  <c r="C9" i="1"/>
  <c r="C30" i="1"/>
  <c r="C12" i="1"/>
  <c r="C126" i="1"/>
  <c r="C150" i="1"/>
  <c r="C134" i="1"/>
  <c r="C256" i="1"/>
  <c r="C62" i="1"/>
  <c r="C75" i="1"/>
  <c r="C8" i="1"/>
  <c r="C63" i="1"/>
  <c r="C28" i="1"/>
  <c r="C34" i="1"/>
  <c r="C267" i="1"/>
  <c r="C44" i="1"/>
  <c r="C139" i="1"/>
  <c r="C31" i="1"/>
  <c r="C18" i="1"/>
  <c r="C60" i="1"/>
  <c r="C56" i="1"/>
  <c r="C21" i="1"/>
  <c r="C118" i="1"/>
  <c r="C55" i="1"/>
  <c r="C22" i="1"/>
  <c r="C200" i="1"/>
  <c r="C94" i="1"/>
  <c r="C123" i="1"/>
  <c r="C59" i="1"/>
  <c r="C20" i="1"/>
  <c r="C35" i="1"/>
  <c r="S202" i="1"/>
  <c r="S71" i="1"/>
  <c r="S281" i="1"/>
  <c r="S205" i="1"/>
  <c r="S285" i="1"/>
  <c r="S277" i="1"/>
  <c r="S47" i="1"/>
  <c r="S286" i="1"/>
  <c r="S86" i="1"/>
  <c r="S153" i="1"/>
  <c r="S162" i="1"/>
  <c r="S252" i="1"/>
  <c r="S216" i="1"/>
  <c r="S184" i="1"/>
  <c r="S152" i="1"/>
  <c r="S189" i="1"/>
  <c r="S155" i="1"/>
  <c r="S243" i="1"/>
  <c r="S188" i="1"/>
  <c r="S124" i="1"/>
  <c r="S103" i="1"/>
  <c r="S174" i="1"/>
  <c r="S138" i="1"/>
  <c r="S106" i="1"/>
  <c r="S257" i="1"/>
  <c r="S274" i="1"/>
  <c r="S201" i="1"/>
  <c r="S221" i="1"/>
  <c r="S42" i="1"/>
  <c r="S69" i="1"/>
  <c r="S259" i="1"/>
  <c r="S102" i="1"/>
  <c r="S41" i="1"/>
  <c r="S183" i="1"/>
  <c r="S88" i="1"/>
  <c r="S147" i="1"/>
  <c r="S93" i="1"/>
  <c r="S83" i="1"/>
  <c r="S117" i="1"/>
  <c r="S212" i="1"/>
  <c r="S187" i="1"/>
  <c r="S76" i="1"/>
  <c r="S214" i="1"/>
  <c r="S27" i="1"/>
  <c r="S282" i="1"/>
  <c r="S262" i="1"/>
  <c r="S238" i="1"/>
  <c r="S107" i="1"/>
  <c r="S209" i="1"/>
  <c r="S255" i="1"/>
  <c r="S87" i="1"/>
  <c r="S250" i="1"/>
  <c r="S258" i="1"/>
  <c r="S251" i="1"/>
  <c r="S215" i="1"/>
  <c r="S244" i="1"/>
  <c r="S268" i="1"/>
  <c r="S158" i="1"/>
  <c r="S92" i="1"/>
  <c r="S181" i="1"/>
  <c r="S185" i="1"/>
  <c r="S249" i="1"/>
  <c r="S128" i="1"/>
  <c r="S219" i="1"/>
  <c r="S95" i="1"/>
  <c r="S239" i="1"/>
  <c r="S168" i="1"/>
  <c r="S172" i="1"/>
  <c r="S275" i="1"/>
  <c r="S48" i="1"/>
  <c r="S260" i="1"/>
  <c r="S129" i="1"/>
  <c r="S208" i="1"/>
  <c r="S261" i="1"/>
  <c r="S232" i="1"/>
  <c r="S167" i="1"/>
  <c r="S170" i="1"/>
  <c r="S235" i="1"/>
  <c r="S175" i="1"/>
  <c r="S225" i="1"/>
  <c r="S271" i="1"/>
  <c r="S264" i="1"/>
  <c r="S206" i="1"/>
  <c r="S163" i="1"/>
  <c r="S3" i="1"/>
  <c r="S97" i="1"/>
  <c r="S248" i="1"/>
  <c r="S90" i="1"/>
  <c r="S213" i="1"/>
  <c r="S159" i="1"/>
  <c r="S6" i="1"/>
  <c r="S99" i="1"/>
  <c r="S67" i="1"/>
  <c r="S276" i="1"/>
  <c r="S127" i="1"/>
  <c r="S140" i="1"/>
  <c r="S98" i="1"/>
  <c r="S220" i="1"/>
  <c r="S270" i="1"/>
  <c r="S57" i="1"/>
  <c r="S218" i="1"/>
  <c r="S171" i="1"/>
  <c r="S143" i="1"/>
  <c r="S207" i="1"/>
  <c r="S142" i="1"/>
  <c r="S157" i="1"/>
  <c r="S228" i="1"/>
  <c r="S130" i="1"/>
  <c r="S211" i="1"/>
  <c r="S287" i="1"/>
  <c r="S32" i="1"/>
  <c r="S226" i="1"/>
  <c r="S222" i="1"/>
  <c r="S227" i="1"/>
  <c r="S263" i="1"/>
  <c r="S186" i="1"/>
  <c r="S109" i="1"/>
  <c r="S10" i="1"/>
  <c r="S17" i="1"/>
  <c r="S24" i="1"/>
  <c r="S210" i="1"/>
  <c r="S279" i="1"/>
  <c r="S245" i="1"/>
  <c r="S85" i="1"/>
  <c r="S165" i="1"/>
  <c r="S178" i="1"/>
  <c r="S269" i="1"/>
  <c r="S49" i="1"/>
  <c r="S217" i="1"/>
  <c r="S179" i="1"/>
  <c r="S14" i="1"/>
  <c r="S284" i="1"/>
  <c r="S173" i="1"/>
  <c r="S54" i="1"/>
  <c r="S80" i="1"/>
  <c r="S273" i="1"/>
  <c r="S100" i="1"/>
  <c r="S237" i="1"/>
  <c r="S66" i="1"/>
  <c r="S236" i="1"/>
  <c r="S37" i="1"/>
  <c r="S161" i="1"/>
  <c r="S247" i="1"/>
  <c r="S4" i="1"/>
  <c r="S253" i="1"/>
  <c r="S233" i="1"/>
  <c r="S283" i="1"/>
  <c r="S146" i="1"/>
  <c r="S180" i="1"/>
  <c r="S234" i="1"/>
  <c r="S5" i="1"/>
  <c r="S229" i="1"/>
  <c r="S151" i="1"/>
  <c r="S169" i="1"/>
  <c r="S278" i="1"/>
  <c r="S223" i="1"/>
  <c r="S15" i="1"/>
  <c r="S231" i="1"/>
  <c r="S177" i="1"/>
  <c r="S105" i="1"/>
  <c r="S119" i="1"/>
  <c r="S182" i="1"/>
  <c r="S29" i="1"/>
  <c r="S53" i="1"/>
  <c r="S116" i="1"/>
  <c r="S7" i="1"/>
  <c r="S121" i="1"/>
  <c r="S84" i="1"/>
  <c r="S197" i="1"/>
  <c r="S104" i="1"/>
  <c r="S164" i="1"/>
  <c r="S246" i="1"/>
  <c r="S115" i="1"/>
  <c r="S101" i="1"/>
  <c r="S2" i="1"/>
  <c r="S43" i="1"/>
  <c r="S199" i="1"/>
  <c r="S242" i="1"/>
  <c r="S77" i="1"/>
  <c r="S137" i="1"/>
  <c r="S108" i="1"/>
  <c r="S11" i="1"/>
  <c r="S65" i="1"/>
  <c r="S224" i="1"/>
  <c r="S241" i="1"/>
  <c r="S240" i="1"/>
  <c r="S160" i="1"/>
  <c r="S25" i="1"/>
  <c r="S89" i="1"/>
  <c r="S70" i="1"/>
  <c r="S148" i="1"/>
  <c r="S91" i="1"/>
  <c r="S19" i="1"/>
  <c r="S50" i="1"/>
  <c r="S61" i="1"/>
  <c r="S125" i="1"/>
  <c r="S131" i="1"/>
  <c r="S145" i="1"/>
  <c r="S16" i="1"/>
  <c r="S149" i="1"/>
  <c r="S133" i="1"/>
  <c r="S64" i="1"/>
  <c r="S230" i="1"/>
  <c r="S141" i="1"/>
  <c r="S192" i="1"/>
  <c r="S13" i="1"/>
  <c r="S193" i="1"/>
  <c r="S52" i="1"/>
  <c r="S96" i="1"/>
  <c r="S81" i="1"/>
  <c r="S156" i="1"/>
  <c r="S51" i="1"/>
  <c r="S58" i="1"/>
  <c r="S73" i="1"/>
  <c r="S39" i="1"/>
  <c r="S194" i="1"/>
  <c r="S33" i="1"/>
  <c r="S38" i="1"/>
  <c r="S112" i="1"/>
  <c r="S176" i="1"/>
  <c r="S40" i="1"/>
  <c r="S280" i="1"/>
  <c r="S45" i="1"/>
  <c r="S272" i="1"/>
  <c r="S36" i="1"/>
  <c r="S79" i="1"/>
  <c r="S204" i="1"/>
  <c r="S166" i="1"/>
  <c r="S113" i="1"/>
  <c r="S144" i="1"/>
  <c r="S195" i="1"/>
  <c r="S82" i="1"/>
  <c r="S68" i="1"/>
  <c r="S190" i="1"/>
  <c r="S132" i="1"/>
  <c r="S265" i="1"/>
  <c r="S191" i="1"/>
  <c r="S203" i="1"/>
  <c r="S120" i="1"/>
  <c r="S198" i="1"/>
  <c r="S135" i="1"/>
  <c r="S111" i="1"/>
  <c r="S254" i="1"/>
  <c r="S46" i="1"/>
  <c r="S23" i="1"/>
  <c r="S72" i="1"/>
  <c r="S74" i="1"/>
  <c r="S110" i="1"/>
  <c r="S78" i="1"/>
  <c r="S196" i="1"/>
  <c r="S266" i="1"/>
  <c r="S122" i="1"/>
  <c r="S154" i="1"/>
  <c r="S26" i="1"/>
  <c r="S114" i="1"/>
  <c r="S9" i="1"/>
  <c r="S30" i="1"/>
  <c r="S12" i="1"/>
  <c r="S126" i="1"/>
  <c r="S150" i="1"/>
  <c r="S134" i="1"/>
  <c r="S256" i="1"/>
  <c r="S62" i="1"/>
  <c r="S75" i="1"/>
  <c r="S8" i="1"/>
  <c r="S63" i="1"/>
  <c r="S28" i="1"/>
  <c r="S34" i="1"/>
  <c r="S267" i="1"/>
  <c r="S44" i="1"/>
  <c r="S139" i="1"/>
  <c r="S31" i="1"/>
  <c r="S18" i="1"/>
  <c r="S60" i="1"/>
  <c r="S56" i="1"/>
  <c r="S21" i="1"/>
  <c r="S118" i="1"/>
  <c r="S55" i="1"/>
  <c r="S22" i="1"/>
  <c r="S200" i="1"/>
  <c r="S94" i="1"/>
  <c r="S123" i="1"/>
  <c r="S59" i="1"/>
  <c r="S20" i="1"/>
  <c r="S35" i="1"/>
  <c r="K200" i="1"/>
  <c r="K22" i="1"/>
  <c r="K55" i="1"/>
  <c r="K118" i="1"/>
  <c r="K21" i="1"/>
  <c r="K56" i="1"/>
  <c r="K60" i="1"/>
  <c r="K18" i="1"/>
  <c r="K31" i="1"/>
  <c r="K139" i="1"/>
  <c r="K44" i="1"/>
  <c r="K267" i="1"/>
  <c r="K34" i="1"/>
  <c r="K28" i="1"/>
  <c r="K63" i="1"/>
  <c r="K8" i="1"/>
  <c r="K75" i="1"/>
  <c r="K62" i="1"/>
  <c r="K256" i="1"/>
  <c r="K134" i="1"/>
  <c r="K150" i="1"/>
  <c r="K126" i="1"/>
  <c r="K12" i="1"/>
  <c r="K30" i="1"/>
  <c r="K9" i="1"/>
  <c r="K114" i="1"/>
  <c r="K26" i="1"/>
  <c r="K154" i="1"/>
  <c r="K122" i="1"/>
  <c r="K266" i="1"/>
  <c r="K196" i="1"/>
  <c r="K78" i="1"/>
  <c r="K110" i="1"/>
  <c r="K74" i="1"/>
  <c r="K72" i="1"/>
  <c r="K23" i="1"/>
  <c r="K46" i="1"/>
  <c r="K254" i="1"/>
  <c r="K111" i="1"/>
  <c r="K135" i="1"/>
  <c r="K198" i="1"/>
  <c r="K120" i="1"/>
  <c r="K203" i="1"/>
  <c r="K191" i="1"/>
  <c r="K265" i="1"/>
  <c r="K132" i="1"/>
  <c r="K190" i="1"/>
  <c r="K68" i="1"/>
  <c r="K82" i="1"/>
  <c r="K195" i="1"/>
  <c r="K144" i="1"/>
  <c r="K113" i="1"/>
  <c r="K166" i="1"/>
  <c r="K204" i="1"/>
  <c r="K79" i="1"/>
  <c r="K36" i="1"/>
  <c r="K272" i="1"/>
  <c r="K45" i="1"/>
  <c r="K280" i="1"/>
  <c r="K40" i="1"/>
  <c r="K176" i="1"/>
  <c r="K112" i="1"/>
  <c r="K38" i="1"/>
  <c r="K33" i="1"/>
  <c r="K194" i="1"/>
  <c r="K39" i="1"/>
  <c r="K73" i="1"/>
  <c r="K58" i="1"/>
  <c r="K51" i="1"/>
  <c r="K156" i="1"/>
  <c r="K81" i="1"/>
  <c r="K96" i="1"/>
  <c r="K52" i="1"/>
  <c r="K193" i="1"/>
  <c r="K13" i="1"/>
  <c r="K192" i="1"/>
  <c r="K141" i="1"/>
  <c r="K230" i="1"/>
  <c r="K64" i="1"/>
  <c r="K133" i="1"/>
  <c r="K149" i="1"/>
  <c r="K16" i="1"/>
  <c r="K145" i="1"/>
  <c r="K131" i="1"/>
  <c r="K125" i="1"/>
  <c r="K61" i="1"/>
  <c r="K50" i="1"/>
  <c r="K19" i="1"/>
  <c r="K91" i="1"/>
  <c r="K148" i="1"/>
  <c r="K70" i="1"/>
  <c r="K89" i="1"/>
  <c r="K25" i="1"/>
  <c r="K160" i="1"/>
  <c r="K240" i="1"/>
  <c r="K241" i="1"/>
  <c r="K224" i="1"/>
  <c r="K65" i="1"/>
  <c r="K11" i="1"/>
  <c r="K108" i="1"/>
  <c r="K137" i="1"/>
  <c r="K77" i="1"/>
  <c r="K242" i="1"/>
  <c r="K199" i="1"/>
  <c r="K43" i="1"/>
  <c r="K2" i="1"/>
  <c r="K101" i="1"/>
  <c r="K115" i="1"/>
  <c r="K246" i="1"/>
  <c r="K164" i="1"/>
  <c r="K104" i="1"/>
  <c r="K197" i="1"/>
  <c r="K84" i="1"/>
  <c r="K121" i="1"/>
  <c r="K7" i="1"/>
  <c r="K116" i="1"/>
  <c r="K53" i="1"/>
  <c r="K29" i="1"/>
  <c r="K182" i="1"/>
  <c r="K119" i="1"/>
  <c r="K105" i="1"/>
  <c r="K177" i="1"/>
  <c r="K231" i="1"/>
  <c r="K15" i="1"/>
  <c r="K223" i="1"/>
  <c r="K278" i="1"/>
  <c r="K169" i="1"/>
  <c r="K151" i="1"/>
  <c r="K229" i="1"/>
  <c r="K5" i="1"/>
  <c r="K234" i="1"/>
  <c r="K180" i="1"/>
  <c r="K146" i="1"/>
  <c r="K283" i="1"/>
  <c r="K233" i="1"/>
  <c r="K253" i="1"/>
  <c r="K4" i="1"/>
  <c r="K247" i="1"/>
  <c r="K161" i="1"/>
  <c r="K37" i="1"/>
  <c r="K236" i="1"/>
  <c r="K66" i="1"/>
  <c r="K237" i="1"/>
  <c r="K100" i="1"/>
  <c r="K273" i="1"/>
  <c r="K80" i="1"/>
  <c r="K54" i="1"/>
  <c r="K173" i="1"/>
  <c r="K284" i="1"/>
  <c r="K14" i="1"/>
  <c r="K179" i="1"/>
  <c r="K217" i="1"/>
  <c r="K49" i="1"/>
  <c r="K269" i="1"/>
  <c r="K178" i="1"/>
  <c r="K165" i="1"/>
  <c r="K85" i="1"/>
  <c r="K245" i="1"/>
  <c r="K279" i="1"/>
  <c r="K210" i="1"/>
  <c r="K24" i="1"/>
  <c r="K17" i="1"/>
  <c r="K10" i="1"/>
  <c r="K109" i="1"/>
  <c r="K186" i="1"/>
  <c r="K263" i="1"/>
  <c r="K227" i="1"/>
  <c r="K222" i="1"/>
  <c r="K226" i="1"/>
  <c r="K32" i="1"/>
  <c r="K287" i="1"/>
  <c r="K211" i="1"/>
  <c r="K130" i="1"/>
  <c r="K228" i="1"/>
  <c r="K157" i="1"/>
  <c r="K142" i="1"/>
  <c r="K207" i="1"/>
  <c r="K143" i="1"/>
  <c r="K171" i="1"/>
  <c r="K218" i="1"/>
  <c r="K57" i="1"/>
  <c r="K270" i="1"/>
  <c r="K220" i="1"/>
  <c r="K98" i="1"/>
  <c r="K140" i="1"/>
  <c r="K127" i="1"/>
  <c r="K276" i="1"/>
  <c r="K67" i="1"/>
  <c r="K99" i="1"/>
  <c r="K6" i="1"/>
  <c r="K159" i="1"/>
  <c r="K213" i="1"/>
  <c r="K90" i="1"/>
  <c r="K248" i="1"/>
  <c r="K97" i="1"/>
  <c r="K3" i="1"/>
  <c r="K163" i="1"/>
  <c r="K206" i="1"/>
  <c r="K264" i="1"/>
  <c r="K271" i="1"/>
  <c r="K225" i="1"/>
  <c r="K175" i="1"/>
  <c r="K235" i="1"/>
  <c r="K170" i="1"/>
  <c r="K167" i="1"/>
  <c r="K232" i="1"/>
  <c r="K261" i="1"/>
  <c r="K208" i="1"/>
  <c r="K129" i="1"/>
  <c r="K260" i="1"/>
  <c r="K48" i="1"/>
  <c r="K275" i="1"/>
  <c r="K172" i="1"/>
  <c r="K168" i="1"/>
  <c r="K239" i="1"/>
  <c r="K95" i="1"/>
  <c r="K219" i="1"/>
  <c r="K128" i="1"/>
  <c r="K249" i="1"/>
  <c r="K185" i="1"/>
  <c r="K181" i="1"/>
  <c r="K92" i="1"/>
  <c r="K158" i="1"/>
  <c r="K268" i="1"/>
  <c r="K244" i="1"/>
  <c r="K215" i="1"/>
  <c r="K251" i="1"/>
  <c r="K258" i="1"/>
  <c r="K250" i="1"/>
  <c r="K87" i="1"/>
  <c r="K255" i="1"/>
  <c r="K209" i="1"/>
  <c r="K107" i="1"/>
  <c r="K238" i="1"/>
  <c r="K262" i="1"/>
  <c r="K282" i="1"/>
  <c r="K27" i="1"/>
  <c r="K214" i="1"/>
  <c r="K76" i="1"/>
  <c r="K187" i="1"/>
  <c r="K212" i="1"/>
  <c r="K117" i="1"/>
  <c r="K83" i="1"/>
  <c r="K93" i="1"/>
  <c r="K147" i="1"/>
  <c r="K88" i="1"/>
  <c r="K183" i="1"/>
  <c r="K41" i="1"/>
  <c r="K102" i="1"/>
  <c r="K259" i="1"/>
  <c r="K69" i="1"/>
  <c r="K42" i="1"/>
  <c r="K221" i="1"/>
  <c r="K201" i="1"/>
  <c r="K274" i="1"/>
  <c r="K257" i="1"/>
  <c r="K106" i="1"/>
  <c r="K138" i="1"/>
  <c r="K174" i="1"/>
  <c r="K103" i="1"/>
  <c r="K124" i="1"/>
  <c r="K188" i="1"/>
  <c r="K243" i="1"/>
  <c r="K155" i="1"/>
  <c r="K189" i="1"/>
  <c r="K152" i="1"/>
  <c r="K184" i="1"/>
  <c r="K216" i="1"/>
  <c r="K252" i="1"/>
  <c r="K162" i="1"/>
  <c r="K153" i="1"/>
  <c r="K86" i="1"/>
  <c r="K286" i="1"/>
  <c r="K47" i="1"/>
  <c r="K277" i="1"/>
  <c r="K285" i="1"/>
  <c r="K205" i="1"/>
  <c r="K281" i="1"/>
  <c r="K71" i="1"/>
  <c r="K202" i="1"/>
  <c r="K35" i="1"/>
  <c r="K20" i="1"/>
  <c r="K59" i="1"/>
  <c r="K123" i="1"/>
  <c r="K94" i="1"/>
  <c r="S136" i="1"/>
  <c r="K136" i="1"/>
  <c r="C136" i="1"/>
</calcChain>
</file>

<file path=xl/sharedStrings.xml><?xml version="1.0" encoding="utf-8"?>
<sst xmlns="http://schemas.openxmlformats.org/spreadsheetml/2006/main" count="1175" uniqueCount="392">
  <si>
    <t>id</t>
  </si>
  <si>
    <t>trzby</t>
  </si>
  <si>
    <t>naklady</t>
  </si>
  <si>
    <t>bloky</t>
  </si>
  <si>
    <t>typ</t>
  </si>
  <si>
    <t>regional</t>
  </si>
  <si>
    <t>mesto</t>
  </si>
  <si>
    <t>hodnota_bloku</t>
  </si>
  <si>
    <t>podiel_rx</t>
  </si>
  <si>
    <t>ZF</t>
  </si>
  <si>
    <t>F</t>
  </si>
  <si>
    <t>L</t>
  </si>
  <si>
    <t>fte</t>
  </si>
  <si>
    <t>fte_n</t>
  </si>
  <si>
    <t>fte_mean</t>
  </si>
  <si>
    <t>fte_diff</t>
  </si>
  <si>
    <t>pm</t>
  </si>
  <si>
    <t>pm_round</t>
  </si>
  <si>
    <t>B - shopping</t>
  </si>
  <si>
    <t>RR5_Juraj Hvorecky</t>
  </si>
  <si>
    <t>Rimavska Sobota, Kaufland</t>
  </si>
  <si>
    <t>RR1_Beata Kubanova</t>
  </si>
  <si>
    <t>Michalovce, TESCO</t>
  </si>
  <si>
    <t>RR3_Jana Majernikova</t>
  </si>
  <si>
    <t>Spis.N.Ves, OC Madaras</t>
  </si>
  <si>
    <t>RR2_Silvia Mastikova</t>
  </si>
  <si>
    <t>Humenne, Kaufland</t>
  </si>
  <si>
    <t>RR7_Ivana Ilanovska</t>
  </si>
  <si>
    <t>Poprad, OC MAX</t>
  </si>
  <si>
    <t>Lipt. Mikulas</t>
  </si>
  <si>
    <t>Michalovce, Kaufland</t>
  </si>
  <si>
    <t>RR13_Slavomir Bodnar</t>
  </si>
  <si>
    <t>Bratislava, Kaufland Trnavska</t>
  </si>
  <si>
    <t>RR11_Andrej Kukucka</t>
  </si>
  <si>
    <t>Nitra, Kaufland</t>
  </si>
  <si>
    <t>RR14_Zsolt Balogh</t>
  </si>
  <si>
    <t>Nove Zamky, OC Aquario</t>
  </si>
  <si>
    <t>RR4_Radovan Kalmar</t>
  </si>
  <si>
    <t>Kosice, Kaufland Popradska</t>
  </si>
  <si>
    <t>Levice, TESCO</t>
  </si>
  <si>
    <t>RR9_Andrej Jakubik</t>
  </si>
  <si>
    <t>Puchov, Kaufland</t>
  </si>
  <si>
    <t>Zvolen, Kaufland</t>
  </si>
  <si>
    <t>RR8_Katarina Kuchtova</t>
  </si>
  <si>
    <t>Zilina, Kaufland</t>
  </si>
  <si>
    <t>Presov, Kaufland</t>
  </si>
  <si>
    <t>RR15_Miroslava Kolesarova</t>
  </si>
  <si>
    <t>Bratislava, Kaufland Petrzalka</t>
  </si>
  <si>
    <t>Sala, Kaufland</t>
  </si>
  <si>
    <t>RR6_Jaroslav Vigh</t>
  </si>
  <si>
    <t>Brezno, TESCO</t>
  </si>
  <si>
    <t>Cadca, TESCO</t>
  </si>
  <si>
    <t>Nove Zamky, Kaufland</t>
  </si>
  <si>
    <t>Sered, Kaufland</t>
  </si>
  <si>
    <t>RR16_Robert Kardos</t>
  </si>
  <si>
    <t>Malacky, Kaufland</t>
  </si>
  <si>
    <t>Bratislava, Kaufland Raca</t>
  </si>
  <si>
    <t>Galanta, TESCO</t>
  </si>
  <si>
    <t>Komarno, Kaufland</t>
  </si>
  <si>
    <t>Dubnica nV, TESCO</t>
  </si>
  <si>
    <t>Kezmarok, TESCO</t>
  </si>
  <si>
    <t>RR12_Alena Romanova</t>
  </si>
  <si>
    <t>Piestany, Kaufland</t>
  </si>
  <si>
    <t>Nove Zamky, CBA</t>
  </si>
  <si>
    <t>Ziar n.H., TESCO</t>
  </si>
  <si>
    <t>Stara Lubovna, Kaufland</t>
  </si>
  <si>
    <t>Kosice, Billa</t>
  </si>
  <si>
    <t>Trencin, Kaufland</t>
  </si>
  <si>
    <t>Kosice, Kaufland Galeria</t>
  </si>
  <si>
    <t>Ruzomberok, Kaufland</t>
  </si>
  <si>
    <t>Spis.N.Ves, Kaufland</t>
  </si>
  <si>
    <t>Martin, Kaufland</t>
  </si>
  <si>
    <t>Bardejov, Hypernova</t>
  </si>
  <si>
    <t>Trnava, Kaufland</t>
  </si>
  <si>
    <t>Ban. Bystrica, Kaufland</t>
  </si>
  <si>
    <t>Dunajska Streda, Kaufland</t>
  </si>
  <si>
    <t>Senica, Kaufland</t>
  </si>
  <si>
    <t>Sturovo, OC Aquario</t>
  </si>
  <si>
    <t>Kezmarok, Kaufland</t>
  </si>
  <si>
    <t>Trebisov, Kaufland</t>
  </si>
  <si>
    <t>Zlate Moravce, Tesco</t>
  </si>
  <si>
    <t>Rimavska Sobota, TESCO</t>
  </si>
  <si>
    <t>Lipt. Mikulas, Kaufland</t>
  </si>
  <si>
    <t>Brezno, Kaufland</t>
  </si>
  <si>
    <t>Lucenec, Kaufland</t>
  </si>
  <si>
    <t>LIDL,KARLOVA VES</t>
  </si>
  <si>
    <t>A - shopping premium</t>
  </si>
  <si>
    <t>Trencin, OC MAX</t>
  </si>
  <si>
    <t>Cadca, Kaufland</t>
  </si>
  <si>
    <t>Sabinov, Kaufland Bernolakova</t>
  </si>
  <si>
    <t>Bratislava, Kaufland</t>
  </si>
  <si>
    <t>Bratislava, Kaufland Podunajske B.</t>
  </si>
  <si>
    <t>Vranov nad Toplou, Kaufland</t>
  </si>
  <si>
    <t>Bratislava, Bory</t>
  </si>
  <si>
    <t>Bratislava, OC Dubrawa</t>
  </si>
  <si>
    <t>Bardejov, Kaufland</t>
  </si>
  <si>
    <t>Roznava, Kaufland</t>
  </si>
  <si>
    <t>Kaufland Kosice</t>
  </si>
  <si>
    <t>RR10_Mario Mantuano</t>
  </si>
  <si>
    <t>Kaufland Prievidza</t>
  </si>
  <si>
    <t>TESCO, Povazska Bystrica</t>
  </si>
  <si>
    <t>TESCO, Roznava</t>
  </si>
  <si>
    <t>Zilina, Mirage</t>
  </si>
  <si>
    <t>Nitra, BILLA</t>
  </si>
  <si>
    <t>Billa, Handlova</t>
  </si>
  <si>
    <t>Kaufland, Poprad</t>
  </si>
  <si>
    <t>Bratislava, Eurovea</t>
  </si>
  <si>
    <t>Bratislava, Central</t>
  </si>
  <si>
    <t>Bratislava, Eurovea II</t>
  </si>
  <si>
    <t>Kosice - Tahanovce</t>
  </si>
  <si>
    <t>Kaufland, Dolny Kubin</t>
  </si>
  <si>
    <t>TESCO Bratislava, Dubravka</t>
  </si>
  <si>
    <t>Bratislava, Aupark</t>
  </si>
  <si>
    <t>Presov, Tesco</t>
  </si>
  <si>
    <t>Kaufland Pezinok</t>
  </si>
  <si>
    <t>Kosice, Tesco</t>
  </si>
  <si>
    <t>Banska Bystrica, Tesco</t>
  </si>
  <si>
    <t>Zvolen, Tesco</t>
  </si>
  <si>
    <t>Trencin, Tesco</t>
  </si>
  <si>
    <t>Piestany, Tesco</t>
  </si>
  <si>
    <t>Trnava, Tesco</t>
  </si>
  <si>
    <t>Dunajska Streda, Tesco</t>
  </si>
  <si>
    <t>Senec, Tesco</t>
  </si>
  <si>
    <t>Bratislava, Tesco</t>
  </si>
  <si>
    <t>Kaufland, Trnava</t>
  </si>
  <si>
    <t>Povazska Bystrica, Kaufland</t>
  </si>
  <si>
    <t>Modra</t>
  </si>
  <si>
    <t>Trencin, OC Juzanka</t>
  </si>
  <si>
    <t>Zilina, Max</t>
  </si>
  <si>
    <t>Kosice, Optima</t>
  </si>
  <si>
    <t>Martin, Tulip</t>
  </si>
  <si>
    <t>Trnava, Max</t>
  </si>
  <si>
    <t>Ban. Bystrica, Kaufland (DZ)</t>
  </si>
  <si>
    <t>Skalica, TESCO</t>
  </si>
  <si>
    <t>Trencin, Laugaricio</t>
  </si>
  <si>
    <t>Bratislava, Danubia</t>
  </si>
  <si>
    <t>E - poliklinika</t>
  </si>
  <si>
    <t>Senec</t>
  </si>
  <si>
    <t>Humenne, NsP</t>
  </si>
  <si>
    <t>Rimavska Sobota, NsP</t>
  </si>
  <si>
    <t>Vranov n.T., NsP</t>
  </si>
  <si>
    <t>Hnusta, poliklinika</t>
  </si>
  <si>
    <t>Cierna n.T., poliklinika</t>
  </si>
  <si>
    <t>Ziar n.H., NsP 2</t>
  </si>
  <si>
    <t>Sered, ProCare</t>
  </si>
  <si>
    <t>Gelnica, NsP</t>
  </si>
  <si>
    <t>Stropkov, poliklinika</t>
  </si>
  <si>
    <t>Trencin, poliklinika</t>
  </si>
  <si>
    <t>Kremnica, poliklinika</t>
  </si>
  <si>
    <t>Bratislava, ProCare</t>
  </si>
  <si>
    <t>Zvolen, poliklinika</t>
  </si>
  <si>
    <t>Kosice, zel.nemocnica</t>
  </si>
  <si>
    <t>Trebisov, Nemocnica s pol.</t>
  </si>
  <si>
    <t>Spis.N.Ves, poliklinika</t>
  </si>
  <si>
    <t>Trebisov, M.R.Stefanika</t>
  </si>
  <si>
    <t>Trebisov, SNP</t>
  </si>
  <si>
    <t>Kralovsky Chlmec</t>
  </si>
  <si>
    <t>Kosice, Tomasikova</t>
  </si>
  <si>
    <t>Ban. Bystrica, ProCare</t>
  </si>
  <si>
    <t>Roznava, nemocnica</t>
  </si>
  <si>
    <t>Hlohovec, nemocnica</t>
  </si>
  <si>
    <t>Nemocnica Dunajska Streda</t>
  </si>
  <si>
    <t>Presov, Sekcov</t>
  </si>
  <si>
    <t>Trnava</t>
  </si>
  <si>
    <t>Michalovce, modular</t>
  </si>
  <si>
    <t xml:space="preserve">Partizanske </t>
  </si>
  <si>
    <t xml:space="preserve">Ruzomberok </t>
  </si>
  <si>
    <t>Mytna,Bratislava</t>
  </si>
  <si>
    <t xml:space="preserve">Poliklinika sv.Lukasa, Galanta </t>
  </si>
  <si>
    <t>Bojnice</t>
  </si>
  <si>
    <t>Kosice, Cottbuska</t>
  </si>
  <si>
    <t>Bratislava, Tematinska 5/A</t>
  </si>
  <si>
    <t>Topolcany , Nemocnica</t>
  </si>
  <si>
    <t>Ziar nad Hronom, Poliklinika Pro Care</t>
  </si>
  <si>
    <t>Bratislava - Tehelna</t>
  </si>
  <si>
    <t>Bratislava</t>
  </si>
  <si>
    <t>Poltar</t>
  </si>
  <si>
    <t>Bytca</t>
  </si>
  <si>
    <t>Michalovce</t>
  </si>
  <si>
    <t xml:space="preserve">Novaky </t>
  </si>
  <si>
    <t>Bratislava, Betliarska</t>
  </si>
  <si>
    <t>Kosice, KVP</t>
  </si>
  <si>
    <t>Turcianske Teplice</t>
  </si>
  <si>
    <t>Holic</t>
  </si>
  <si>
    <t>Nemsova</t>
  </si>
  <si>
    <t>Trencin, OZETA</t>
  </si>
  <si>
    <t>Tornala, poliklinika</t>
  </si>
  <si>
    <t>Bytca, poliklinika</t>
  </si>
  <si>
    <t>Dubnica nV, poliklinika</t>
  </si>
  <si>
    <t>Velky Krtis, poliklinika</t>
  </si>
  <si>
    <t>Nove Mesto nV, nemocnica</t>
  </si>
  <si>
    <t>Pov. Bystrica, poliklinika 1</t>
  </si>
  <si>
    <t>Trencin, Spitalska</t>
  </si>
  <si>
    <t>Stara Tura, poliklinika</t>
  </si>
  <si>
    <t>Nitra, Viola</t>
  </si>
  <si>
    <t>Liptovsky Hradok</t>
  </si>
  <si>
    <t>Dolny Kubin</t>
  </si>
  <si>
    <t>Kosice, voj.nemocnica</t>
  </si>
  <si>
    <t>Bratislava, Sustekova</t>
  </si>
  <si>
    <t>Martin, pred nem.</t>
  </si>
  <si>
    <t>Krompachy</t>
  </si>
  <si>
    <t>Ban. Bystrica, Simba</t>
  </si>
  <si>
    <t>Ban. Stiavnica (DZ)</t>
  </si>
  <si>
    <t>Prievidza (DZ)</t>
  </si>
  <si>
    <t>Nova Dubnica., Na Mikl.</t>
  </si>
  <si>
    <t>Bratislava, Tehelna</t>
  </si>
  <si>
    <t>Galanta</t>
  </si>
  <si>
    <t>Sala</t>
  </si>
  <si>
    <t>C - street +</t>
  </si>
  <si>
    <t>Bratislava, Heydukova</t>
  </si>
  <si>
    <t>Poprad, Maj</t>
  </si>
  <si>
    <t>Lucenec</t>
  </si>
  <si>
    <t>Bratislava, Sturova</t>
  </si>
  <si>
    <t>Nove Mesto nV, Laurus</t>
  </si>
  <si>
    <t>Lipt. Mikulas, Nam. osloboditelov</t>
  </si>
  <si>
    <t>Kosice, Mlynska</t>
  </si>
  <si>
    <t>Kosice</t>
  </si>
  <si>
    <t>Martin</t>
  </si>
  <si>
    <t>Topolcany, 17.novembra</t>
  </si>
  <si>
    <t>Trstena</t>
  </si>
  <si>
    <t>Piestany, centrum</t>
  </si>
  <si>
    <t>Trebisov, mesto</t>
  </si>
  <si>
    <t>Gelnica</t>
  </si>
  <si>
    <t xml:space="preserve">Malacky  </t>
  </si>
  <si>
    <t>Kosice, Hlavna</t>
  </si>
  <si>
    <t>Martin, Imelo</t>
  </si>
  <si>
    <t>Snina (DZ)</t>
  </si>
  <si>
    <t>Prievidza</t>
  </si>
  <si>
    <t>Sala, Hlavna</t>
  </si>
  <si>
    <t>Nove Mesto nV, Nika</t>
  </si>
  <si>
    <t>Namestovo</t>
  </si>
  <si>
    <t>Bratislava-Stare Mesto</t>
  </si>
  <si>
    <t xml:space="preserve">Bratislava, Vajnory </t>
  </si>
  <si>
    <t>Dunajska Streda</t>
  </si>
  <si>
    <t>Zilina, Magnolia</t>
  </si>
  <si>
    <t>Nitra</t>
  </si>
  <si>
    <t>Zilina</t>
  </si>
  <si>
    <t>Detva</t>
  </si>
  <si>
    <t>Banovce nad Bebravou</t>
  </si>
  <si>
    <t>Snina</t>
  </si>
  <si>
    <t>Topolcany, Jednota</t>
  </si>
  <si>
    <t>Nove Zamky (DZ)</t>
  </si>
  <si>
    <t>Myjava, Staromyjavska</t>
  </si>
  <si>
    <t>Lucenec (DZ)</t>
  </si>
  <si>
    <t xml:space="preserve">Bytca </t>
  </si>
  <si>
    <t>Ruzomberok</t>
  </si>
  <si>
    <t>Zilina, R. Zaymusa</t>
  </si>
  <si>
    <t>Partizanske, Prior</t>
  </si>
  <si>
    <t>Turany</t>
  </si>
  <si>
    <t>Dobsina</t>
  </si>
  <si>
    <t>Kezmarok, Severka</t>
  </si>
  <si>
    <t>Presov, 17.novembra</t>
  </si>
  <si>
    <t>Bardejov, pri nemocnici</t>
  </si>
  <si>
    <t>Presov</t>
  </si>
  <si>
    <t>Revuca, M.R.Stefanika</t>
  </si>
  <si>
    <t>Lipany</t>
  </si>
  <si>
    <t>Turzovka, mesto</t>
  </si>
  <si>
    <t>Kosice, Merkur</t>
  </si>
  <si>
    <t>Spis.N.Ves, Hornad</t>
  </si>
  <si>
    <t>Ban. Bystrica, Biopharma</t>
  </si>
  <si>
    <t xml:space="preserve">Dunajska Streda </t>
  </si>
  <si>
    <t>Moldava nad Bodvou</t>
  </si>
  <si>
    <t>Bardejov, Stanica</t>
  </si>
  <si>
    <t>Filakovo</t>
  </si>
  <si>
    <t>Stara Tura, Pri Trznici</t>
  </si>
  <si>
    <t>Sered (DZ)</t>
  </si>
  <si>
    <t>Sastin-Straze</t>
  </si>
  <si>
    <t>Kosice, Sturova</t>
  </si>
  <si>
    <t>Ban. Stiavnica</t>
  </si>
  <si>
    <t>Levoca</t>
  </si>
  <si>
    <t>D - street</t>
  </si>
  <si>
    <t>Stary Smokovec, Vysoke Tatry</t>
  </si>
  <si>
    <t>Bratislava, Ametyst</t>
  </si>
  <si>
    <t>Kuty</t>
  </si>
  <si>
    <t>Nitra, Pri Nemocnici</t>
  </si>
  <si>
    <t>Komarno (DZ)</t>
  </si>
  <si>
    <t>Hanusovce nad Toplou</t>
  </si>
  <si>
    <t>Bratislava, Hl. stanica</t>
  </si>
  <si>
    <t>Velke Kapusany</t>
  </si>
  <si>
    <t>Vrutky</t>
  </si>
  <si>
    <t>Poprad, Francisciho</t>
  </si>
  <si>
    <t>Poprad, nam. sv. Egidia</t>
  </si>
  <si>
    <t>Kanianka</t>
  </si>
  <si>
    <t>Kosice, autobus.stanica</t>
  </si>
  <si>
    <t>Velky Meder</t>
  </si>
  <si>
    <t>Ban. Bystrica, centrum</t>
  </si>
  <si>
    <t>Nova Bana</t>
  </si>
  <si>
    <t>Bratislava, Obchodna</t>
  </si>
  <si>
    <t>Kolarovo</t>
  </si>
  <si>
    <t>Lucenec, Prior</t>
  </si>
  <si>
    <t>Stara Tura, Na Stanici</t>
  </si>
  <si>
    <t>Lubochna</t>
  </si>
  <si>
    <t>Likavka</t>
  </si>
  <si>
    <t>Sahy</t>
  </si>
  <si>
    <t>Levice, Na Baste</t>
  </si>
  <si>
    <t>Lubica</t>
  </si>
  <si>
    <t xml:space="preserve">Krupina </t>
  </si>
  <si>
    <t>Galanta, centrum</t>
  </si>
  <si>
    <t>Puchov</t>
  </si>
  <si>
    <t>Secovce</t>
  </si>
  <si>
    <t>Samorin, Centro</t>
  </si>
  <si>
    <t>Bratislava, podchod Trnavske myto</t>
  </si>
  <si>
    <t>Topolcany, Na Korze</t>
  </si>
  <si>
    <t>Stara Lubovna, CBA</t>
  </si>
  <si>
    <t>Roznava, CBA</t>
  </si>
  <si>
    <t>Zilina, Narodna</t>
  </si>
  <si>
    <t>Sabinov, Nam. Slobody</t>
  </si>
  <si>
    <t>Vranov n.T., centrum</t>
  </si>
  <si>
    <t>Nové Zámky</t>
  </si>
  <si>
    <t>Šaľa</t>
  </si>
  <si>
    <t>Žiar nad Hronom</t>
  </si>
  <si>
    <t>Trenčín</t>
  </si>
  <si>
    <t>Rimavská Sobota</t>
  </si>
  <si>
    <t>Humenné</t>
  </si>
  <si>
    <t>Poprad</t>
  </si>
  <si>
    <t xml:space="preserve">Liptovský Mikuláš       </t>
  </si>
  <si>
    <t>Košice</t>
  </si>
  <si>
    <t>Púchov</t>
  </si>
  <si>
    <t>Zvolen</t>
  </si>
  <si>
    <t>Žilina</t>
  </si>
  <si>
    <t>Prešov</t>
  </si>
  <si>
    <t>Brezno</t>
  </si>
  <si>
    <t>Čadca</t>
  </si>
  <si>
    <t>Malacky</t>
  </si>
  <si>
    <t>Dubnica nV</t>
  </si>
  <si>
    <t>Kežmarok</t>
  </si>
  <si>
    <t>Stará Ľubovňa</t>
  </si>
  <si>
    <t>Spiš.N.Ves</t>
  </si>
  <si>
    <t>Bardejov</t>
  </si>
  <si>
    <t>Banská Bystrica</t>
  </si>
  <si>
    <t>Senica</t>
  </si>
  <si>
    <t>Štúrovo</t>
  </si>
  <si>
    <t>Trebišov</t>
  </si>
  <si>
    <t>Zlaté Moravce</t>
  </si>
  <si>
    <t>Lučenec</t>
  </si>
  <si>
    <t>Sabinov</t>
  </si>
  <si>
    <t>Rožňava</t>
  </si>
  <si>
    <t>Handlová</t>
  </si>
  <si>
    <t xml:space="preserve">Dolný Kubín            </t>
  </si>
  <si>
    <t>Pezinok</t>
  </si>
  <si>
    <t>Piešťany</t>
  </si>
  <si>
    <t>Považská Bystrica</t>
  </si>
  <si>
    <t>Skalica</t>
  </si>
  <si>
    <t>Levice</t>
  </si>
  <si>
    <t>Sereď</t>
  </si>
  <si>
    <t>Komárno</t>
  </si>
  <si>
    <t>Ružomberok</t>
  </si>
  <si>
    <t>Dunajská Streda</t>
  </si>
  <si>
    <t>Vranov nad Topľou</t>
  </si>
  <si>
    <t xml:space="preserve">Považská Bystrica           </t>
  </si>
  <si>
    <t>Hnúšťa</t>
  </si>
  <si>
    <t>Čierna n. Tisou</t>
  </si>
  <si>
    <t>Stropkov</t>
  </si>
  <si>
    <t>Kremica</t>
  </si>
  <si>
    <t xml:space="preserve">Kráľovský Chlmec    </t>
  </si>
  <si>
    <t>Hlohovec</t>
  </si>
  <si>
    <t>Partizánske</t>
  </si>
  <si>
    <t>Topoľčany</t>
  </si>
  <si>
    <t>Poltár</t>
  </si>
  <si>
    <t>Bytča</t>
  </si>
  <si>
    <t>Nováky</t>
  </si>
  <si>
    <t xml:space="preserve">Turčianske Teplice  </t>
  </si>
  <si>
    <t>Holíč</t>
  </si>
  <si>
    <t>Nemšová</t>
  </si>
  <si>
    <t>Tornaľa</t>
  </si>
  <si>
    <t>Veľký Krtíš</t>
  </si>
  <si>
    <t>Nové Mesto nV</t>
  </si>
  <si>
    <t>Stará Turá</t>
  </si>
  <si>
    <t xml:space="preserve">Liptovský Hrádok       </t>
  </si>
  <si>
    <t xml:space="preserve">Dolný Kubín         </t>
  </si>
  <si>
    <t xml:space="preserve">Ban. Štiavnica </t>
  </si>
  <si>
    <t>Nová Dubnica</t>
  </si>
  <si>
    <t>Trstená</t>
  </si>
  <si>
    <t>Námestovo</t>
  </si>
  <si>
    <t xml:space="preserve">Bánovce nad Bebravou    </t>
  </si>
  <si>
    <t>Myjava</t>
  </si>
  <si>
    <t>Dobšiná</t>
  </si>
  <si>
    <t>Revúca</t>
  </si>
  <si>
    <t>Turzovka</t>
  </si>
  <si>
    <t xml:space="preserve">Fiľakovo                          </t>
  </si>
  <si>
    <t xml:space="preserve">Šaštín-Stráže       </t>
  </si>
  <si>
    <t xml:space="preserve">Ban. Štiavnica  </t>
  </si>
  <si>
    <t>Levoča</t>
  </si>
  <si>
    <t>Stary Smokovec</t>
  </si>
  <si>
    <t>Šahy</t>
  </si>
  <si>
    <t>Krupina</t>
  </si>
  <si>
    <t>Samorin</t>
  </si>
  <si>
    <t>adresa</t>
  </si>
  <si>
    <t>NA</t>
  </si>
  <si>
    <t>fte_zastup</t>
  </si>
  <si>
    <t>produktivita</t>
  </si>
  <si>
    <t>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</si>
</sst>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€&quot;* #,##0_-;\-&quot;€&quot;* #,##0_-;_-&quot;€&quot;* &quot;-&quot;_-;_-@_-"/>
    <numFmt numFmtId="164" formatCode="#,##0.0_ ;[Red]\-#,##0.0\ "/>
    <numFmt numFmtId="166" formatCode="_-&quot;€&quot;* #,##0.0_-;\-&quot;€&quot;* #,##0.0_-;_-&quot;€&quot;* &quot;-&quot;?_-;_-@_-"/>
    <numFmt numFmtId="167" formatCode="#,##0_ ;[Red]\-#,##0\ "/>
    <numFmt numFmtId="168" formatCode="#,##0.00_ ;[Red]\-#,##0.00\ "/>
    <numFmt numFmtId="169" formatCode="#,##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9" fontId="0" fillId="0" borderId="0" xfId="0" applyNumberFormat="1"/>
    <xf numFmtId="166" fontId="0" fillId="0" borderId="0" xfId="0" applyNumberFormat="1"/>
    <xf numFmtId="42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4" fillId="0" borderId="0" xfId="0" applyFont="1"/>
    <xf numFmtId="42" fontId="18" fillId="0" borderId="0" xfId="0" applyNumberFormat="1" applyFont="1"/>
    <xf numFmtId="169" fontId="0" fillId="0" borderId="0" xfId="0" applyNumberFormat="1"/>
    <xf numFmtId="0" fontId="18" fillId="0" borderId="0" xfId="0" applyFont="1"/>
    <xf numFmtId="3" fontId="18" fillId="0" borderId="0" xfId="0" applyNumberFormat="1" applyFont="1"/>
    <xf numFmtId="169" fontId="18" fillId="0" borderId="0" xfId="0" applyNumberFormat="1" applyFont="1"/>
    <xf numFmtId="166" fontId="18" fillId="0" borderId="0" xfId="0" applyNumberFormat="1" applyFont="1"/>
    <xf numFmtId="9" fontId="18" fillId="0" borderId="0" xfId="0" applyNumberFormat="1" applyFont="1"/>
    <xf numFmtId="164" fontId="18" fillId="0" borderId="0" xfId="0" applyNumberFormat="1" applyFont="1"/>
    <xf numFmtId="168" fontId="18" fillId="0" borderId="0" xfId="0" applyNumberFormat="1" applyFont="1"/>
    <xf numFmtId="0" fontId="0" fillId="0" borderId="0" xfId="0" applyFill="1"/>
    <xf numFmtId="164" fontId="0" fillId="0" borderId="0" xfId="0" applyNumberFormat="1" applyFill="1"/>
    <xf numFmtId="164" fontId="18" fillId="0" borderId="0" xfId="0" applyNumberFormat="1" applyFont="1" applyFill="1"/>
    <xf numFmtId="0" fontId="0" fillId="33" borderId="0" xfId="0" applyFill="1"/>
    <xf numFmtId="167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9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2" max="2" width="11.33203125" hidden="1" customWidth="1"/>
    <col min="3" max="3" width="11.33203125" customWidth="1"/>
    <col min="4" max="4" width="11" hidden="1" customWidth="1"/>
    <col min="5" max="5" width="11" customWidth="1"/>
    <col min="7" max="7" width="19.5" bestFit="1" customWidth="1"/>
    <col min="8" max="8" width="24.1640625" bestFit="1" customWidth="1"/>
    <col min="9" max="9" width="29.83203125" bestFit="1" customWidth="1"/>
    <col min="10" max="10" width="29.83203125" hidden="1" customWidth="1"/>
    <col min="11" max="11" width="7" customWidth="1"/>
    <col min="12" max="12" width="9" style="3" customWidth="1"/>
    <col min="13" max="13" width="7.6640625" hidden="1" customWidth="1"/>
    <col min="14" max="16" width="12.1640625" hidden="1" customWidth="1"/>
    <col min="17" max="17" width="12.1640625" style="18" bestFit="1" customWidth="1"/>
    <col min="18" max="18" width="12.1640625" bestFit="1" customWidth="1"/>
    <col min="19" max="19" width="12.1640625" customWidth="1"/>
    <col min="20" max="20" width="12" style="6" customWidth="1"/>
    <col min="21" max="21" width="12.1640625" customWidth="1"/>
    <col min="22" max="22" width="12.83203125" customWidth="1"/>
    <col min="23" max="23" width="12.83203125" style="7" customWidth="1"/>
    <col min="24" max="24" width="12" style="6" customWidth="1"/>
  </cols>
  <sheetData>
    <row r="1" spans="1:24" x14ac:dyDescent="0.2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4</v>
      </c>
      <c r="H1" t="s">
        <v>5</v>
      </c>
      <c r="I1" t="s">
        <v>387</v>
      </c>
      <c r="J1" t="s">
        <v>6</v>
      </c>
      <c r="K1" t="s">
        <v>390</v>
      </c>
      <c r="L1" s="3" t="s">
        <v>7</v>
      </c>
      <c r="M1" s="2" t="s">
        <v>8</v>
      </c>
      <c r="N1" t="s">
        <v>9</v>
      </c>
      <c r="O1" t="s">
        <v>10</v>
      </c>
      <c r="P1" t="s">
        <v>11</v>
      </c>
      <c r="Q1" s="21" t="s">
        <v>12</v>
      </c>
      <c r="R1" t="s">
        <v>13</v>
      </c>
      <c r="S1" s="21" t="s">
        <v>391</v>
      </c>
      <c r="T1" s="6" t="s">
        <v>389</v>
      </c>
      <c r="U1" t="s">
        <v>14</v>
      </c>
      <c r="V1" t="s">
        <v>15</v>
      </c>
      <c r="W1" s="7" t="s">
        <v>16</v>
      </c>
      <c r="X1" s="22" t="s">
        <v>17</v>
      </c>
    </row>
    <row r="2" spans="1:24" x14ac:dyDescent="0.2">
      <c r="A2">
        <v>2</v>
      </c>
      <c r="B2" s="4">
        <v>1154617.0900000001</v>
      </c>
      <c r="C2" s="9">
        <f>B2/12</f>
        <v>96218.090833333335</v>
      </c>
      <c r="D2" s="4">
        <v>84618.77</v>
      </c>
      <c r="E2" s="4">
        <v>7051.564166666667</v>
      </c>
      <c r="F2" s="5">
        <v>61770</v>
      </c>
      <c r="G2" t="s">
        <v>270</v>
      </c>
      <c r="H2" t="s">
        <v>46</v>
      </c>
      <c r="I2" t="s">
        <v>287</v>
      </c>
      <c r="J2" t="s">
        <v>175</v>
      </c>
      <c r="K2" s="10">
        <f>F2/(Q2*174*12)</f>
        <v>6.8462177888611846</v>
      </c>
      <c r="L2" s="3">
        <v>18.6921983163348</v>
      </c>
      <c r="M2" s="2">
        <v>0.4713968</v>
      </c>
      <c r="N2" s="1">
        <v>0.13266283524904199</v>
      </c>
      <c r="O2" s="1">
        <v>2.3342911877394599</v>
      </c>
      <c r="P2" s="1">
        <v>1.8541666666666701</v>
      </c>
      <c r="Q2" s="19">
        <v>4.3211206896551699</v>
      </c>
      <c r="R2" s="1">
        <v>0.68917624521072796</v>
      </c>
      <c r="S2" s="16">
        <f>Q2+R2</f>
        <v>5.0102969348658979</v>
      </c>
      <c r="T2" s="1">
        <v>0.31920498084291199</v>
      </c>
      <c r="U2" s="1">
        <v>4.3870249166666699</v>
      </c>
      <c r="V2" s="1">
        <v>-6.5904227011493802E-2</v>
      </c>
      <c r="W2" s="7">
        <v>0</v>
      </c>
      <c r="X2" s="6">
        <f>IF(W2&lt;=-0.65,-1,IF(W2&gt;=0.65,ROUND(W2,0),0))</f>
        <v>0</v>
      </c>
    </row>
    <row r="3" spans="1:24" x14ac:dyDescent="0.2">
      <c r="A3">
        <v>3</v>
      </c>
      <c r="B3" s="4">
        <v>754015.45</v>
      </c>
      <c r="C3" s="9">
        <f>B3/12</f>
        <v>62834.620833333327</v>
      </c>
      <c r="D3" s="4">
        <v>55539.53</v>
      </c>
      <c r="E3" s="4">
        <v>4628.2941666666666</v>
      </c>
      <c r="F3" s="5">
        <v>33650</v>
      </c>
      <c r="G3" t="s">
        <v>136</v>
      </c>
      <c r="H3" t="s">
        <v>31</v>
      </c>
      <c r="I3" t="s">
        <v>137</v>
      </c>
      <c r="J3" t="s">
        <v>137</v>
      </c>
      <c r="K3" s="10">
        <f>F3/(Q3*174*12)</f>
        <v>7.1044019845877679</v>
      </c>
      <c r="L3" s="3">
        <v>22.407591381872201</v>
      </c>
      <c r="M3" s="2">
        <v>0.73953283052754404</v>
      </c>
      <c r="N3" s="1">
        <v>0.82926245210728</v>
      </c>
      <c r="O3" s="1">
        <v>1.43917624521073</v>
      </c>
      <c r="P3" s="1">
        <v>0</v>
      </c>
      <c r="Q3" s="19">
        <v>2.2684386973180102</v>
      </c>
      <c r="R3" s="1">
        <v>0.27011494252873602</v>
      </c>
      <c r="S3" s="16">
        <f>Q3+R3</f>
        <v>2.5385536398467461</v>
      </c>
      <c r="T3" s="1">
        <v>0.50311302681992298</v>
      </c>
      <c r="U3" s="1">
        <v>2.4763805340038298</v>
      </c>
      <c r="V3" s="1">
        <v>-0.207941836685824</v>
      </c>
      <c r="W3" s="7">
        <v>0</v>
      </c>
      <c r="X3" s="6">
        <f>IF(W3&lt;=-0.65,-1,IF(W3&gt;=0.65,ROUND(W3,0),0))</f>
        <v>0</v>
      </c>
    </row>
    <row r="4" spans="1:24" x14ac:dyDescent="0.2">
      <c r="A4">
        <v>5</v>
      </c>
      <c r="B4" s="4">
        <v>945226.53</v>
      </c>
      <c r="C4" s="9">
        <f>B4/12</f>
        <v>78768.877500000002</v>
      </c>
      <c r="D4" s="4">
        <v>56116.91</v>
      </c>
      <c r="E4" s="4">
        <v>4676.4091666666673</v>
      </c>
      <c r="F4" s="5">
        <v>50640</v>
      </c>
      <c r="G4" t="s">
        <v>270</v>
      </c>
      <c r="H4" t="s">
        <v>25</v>
      </c>
      <c r="I4" t="s">
        <v>307</v>
      </c>
      <c r="J4" t="s">
        <v>348</v>
      </c>
      <c r="K4" s="10">
        <f>F4/(Q4*174*12)</f>
        <v>9.5754939964073031</v>
      </c>
      <c r="L4" s="3">
        <v>18.665610781990502</v>
      </c>
      <c r="M4" s="2">
        <v>0.56938557363598297</v>
      </c>
      <c r="N4" s="1">
        <v>1.32088122605364</v>
      </c>
      <c r="O4" s="1">
        <v>0.38817049808429099</v>
      </c>
      <c r="P4" s="1">
        <v>0.82375478927203105</v>
      </c>
      <c r="Q4" s="19">
        <v>2.5328065134099602</v>
      </c>
      <c r="R4" s="1">
        <v>0.31992337164751</v>
      </c>
      <c r="S4" s="16">
        <f>Q4+R4</f>
        <v>2.85272988505747</v>
      </c>
      <c r="T4" s="1">
        <v>0.48850574712643702</v>
      </c>
      <c r="U4" s="1">
        <v>3.5965507816092002</v>
      </c>
      <c r="V4" s="1">
        <v>-1.06374426819923</v>
      </c>
      <c r="W4" s="7">
        <v>-0.88604041143872103</v>
      </c>
      <c r="X4" s="6">
        <f>IF(W4&lt;=-0.65,-1,IF(W4&gt;=0.65,ROUND(W4,0),0))</f>
        <v>-1</v>
      </c>
    </row>
    <row r="5" spans="1:24" x14ac:dyDescent="0.2">
      <c r="A5">
        <v>6</v>
      </c>
      <c r="B5" s="4">
        <v>1326786.58</v>
      </c>
      <c r="C5" s="9">
        <f>B5/12</f>
        <v>110565.54833333334</v>
      </c>
      <c r="D5" s="4">
        <v>70503.66</v>
      </c>
      <c r="E5" s="4">
        <v>5875.3050000000003</v>
      </c>
      <c r="F5" s="5">
        <v>52628</v>
      </c>
      <c r="G5" t="s">
        <v>208</v>
      </c>
      <c r="H5" t="s">
        <v>43</v>
      </c>
      <c r="I5" t="s">
        <v>256</v>
      </c>
      <c r="J5" t="s">
        <v>378</v>
      </c>
      <c r="K5" s="10">
        <f>F5/(Q5*174*12)</f>
        <v>7.7990515708358155</v>
      </c>
      <c r="L5" s="3">
        <v>25.210659344835399</v>
      </c>
      <c r="M5" s="2">
        <v>0.715344678870659</v>
      </c>
      <c r="N5" s="1">
        <v>0.84363026819923403</v>
      </c>
      <c r="O5" s="1">
        <v>0.77777777777777801</v>
      </c>
      <c r="P5" s="1">
        <v>1.61039272030651</v>
      </c>
      <c r="Q5" s="19">
        <v>3.23180076628352</v>
      </c>
      <c r="R5" s="1">
        <v>0.69157088122605404</v>
      </c>
      <c r="S5" s="16">
        <f>Q5+R5</f>
        <v>3.9233716475095739</v>
      </c>
      <c r="T5" s="1">
        <v>0.105124521072797</v>
      </c>
      <c r="U5" s="1">
        <v>3.5417988670498102</v>
      </c>
      <c r="V5" s="1">
        <v>-0.30999810076628298</v>
      </c>
      <c r="W5" s="7">
        <v>-0.22269613013836401</v>
      </c>
      <c r="X5" s="6">
        <f>IF(W5&lt;=-0.65,-1,IF(W5&gt;=0.65,ROUND(W5,0),0))</f>
        <v>0</v>
      </c>
    </row>
    <row r="6" spans="1:24" x14ac:dyDescent="0.2">
      <c r="A6">
        <v>7</v>
      </c>
      <c r="B6" s="4">
        <v>610019.93999999994</v>
      </c>
      <c r="C6" s="9">
        <f>B6/12</f>
        <v>50834.994999999995</v>
      </c>
      <c r="D6" s="4">
        <v>55525.42</v>
      </c>
      <c r="E6" s="4">
        <v>4627.1183333333329</v>
      </c>
      <c r="F6" s="5">
        <v>35146</v>
      </c>
      <c r="G6" t="s">
        <v>208</v>
      </c>
      <c r="H6" t="s">
        <v>23</v>
      </c>
      <c r="I6" t="s">
        <v>251</v>
      </c>
      <c r="J6" t="s">
        <v>320</v>
      </c>
      <c r="K6" s="10">
        <f>F6/(Q6*174*12)</f>
        <v>7.5827400215749607</v>
      </c>
      <c r="L6" s="3">
        <v>17.3567387469413</v>
      </c>
      <c r="M6" s="2">
        <v>0.61521565999957295</v>
      </c>
      <c r="N6" s="1">
        <v>0.89535440613026795</v>
      </c>
      <c r="O6" s="1">
        <v>0.87188697318007702</v>
      </c>
      <c r="P6" s="1">
        <v>0.45258620689655199</v>
      </c>
      <c r="Q6" s="19">
        <v>2.2198275862068999</v>
      </c>
      <c r="R6" s="1">
        <v>0.59267241379310298</v>
      </c>
      <c r="S6" s="16">
        <f>Q6+R6</f>
        <v>2.8125000000000027</v>
      </c>
      <c r="T6" s="1">
        <v>8.8601532567049807E-2</v>
      </c>
      <c r="U6" s="1">
        <v>2.3652820358237499</v>
      </c>
      <c r="V6" s="1">
        <v>-0.14545444961685799</v>
      </c>
      <c r="W6" s="7">
        <v>0</v>
      </c>
      <c r="X6" s="6">
        <f>IF(W6&lt;=-0.65,-1,IF(W6&gt;=0.65,ROUND(W6,0),0))</f>
        <v>0</v>
      </c>
    </row>
    <row r="7" spans="1:24" s="8" customFormat="1" x14ac:dyDescent="0.2">
      <c r="A7">
        <v>9</v>
      </c>
      <c r="B7" s="4">
        <v>1412738.8</v>
      </c>
      <c r="C7" s="9">
        <f>B7/12</f>
        <v>117728.23333333334</v>
      </c>
      <c r="D7" s="4">
        <v>69113.009999999995</v>
      </c>
      <c r="E7" s="4">
        <v>5759.4174999999996</v>
      </c>
      <c r="F7" s="5">
        <v>58861</v>
      </c>
      <c r="G7" t="s">
        <v>136</v>
      </c>
      <c r="H7" t="s">
        <v>25</v>
      </c>
      <c r="I7" t="s">
        <v>138</v>
      </c>
      <c r="J7" t="s">
        <v>313</v>
      </c>
      <c r="K7" s="10">
        <f>F7/(Q7*174*12)</f>
        <v>6.9158735753730411</v>
      </c>
      <c r="L7" s="3">
        <v>24.0012707905064</v>
      </c>
      <c r="M7" s="2">
        <v>0.79693139312093697</v>
      </c>
      <c r="N7" s="1">
        <v>1.30651340996169</v>
      </c>
      <c r="O7" s="1">
        <v>0.91044061302682</v>
      </c>
      <c r="P7" s="1">
        <v>1.8591954022988499</v>
      </c>
      <c r="Q7" s="19">
        <v>4.07614942528736</v>
      </c>
      <c r="R7" s="1">
        <v>1.0172413793103401</v>
      </c>
      <c r="S7" s="16">
        <f>Q7+R7</f>
        <v>5.0933908045976999</v>
      </c>
      <c r="T7" s="1">
        <v>0.62715517241379304</v>
      </c>
      <c r="U7" s="1">
        <v>4.3317157388409999</v>
      </c>
      <c r="V7" s="1">
        <v>-0.25556631355364001</v>
      </c>
      <c r="W7" s="7">
        <v>-6.8053726742010698E-2</v>
      </c>
      <c r="X7" s="6">
        <f>IF(W7&lt;=-0.65,-1,IF(W7&gt;=0.65,ROUND(W7,0),0))</f>
        <v>0</v>
      </c>
    </row>
    <row r="8" spans="1:24" x14ac:dyDescent="0.2">
      <c r="A8">
        <v>11</v>
      </c>
      <c r="B8" s="4">
        <v>1644725.11</v>
      </c>
      <c r="C8" s="9">
        <f>B8/12</f>
        <v>137060.42583333334</v>
      </c>
      <c r="D8" s="4">
        <v>129679.53</v>
      </c>
      <c r="E8" s="4">
        <v>10806.627500000001</v>
      </c>
      <c r="F8" s="5">
        <v>122317</v>
      </c>
      <c r="G8" t="s">
        <v>18</v>
      </c>
      <c r="H8" t="s">
        <v>19</v>
      </c>
      <c r="I8" t="s">
        <v>20</v>
      </c>
      <c r="J8" t="s">
        <v>312</v>
      </c>
      <c r="K8" s="10">
        <f>F8/(Q8*174*12)</f>
        <v>10.322545255074047</v>
      </c>
      <c r="L8" s="3">
        <v>13.446414725671801</v>
      </c>
      <c r="M8" s="2">
        <v>0.56271990642861902</v>
      </c>
      <c r="N8" s="1">
        <v>0.41570881226053602</v>
      </c>
      <c r="O8" s="1">
        <v>2.2380268199233702</v>
      </c>
      <c r="P8" s="1">
        <v>3.0213122605364</v>
      </c>
      <c r="Q8" s="19">
        <v>5.6750478927203103</v>
      </c>
      <c r="R8" s="1">
        <v>2.2701149425287399</v>
      </c>
      <c r="S8" s="16">
        <f>Q8+R8</f>
        <v>7.9451628352490502</v>
      </c>
      <c r="T8" s="1">
        <v>0.79022988505747105</v>
      </c>
      <c r="U8" s="1">
        <v>5.870143430222825</v>
      </c>
      <c r="V8" s="1">
        <v>-0.19509553750252201</v>
      </c>
      <c r="W8" s="7">
        <v>0</v>
      </c>
      <c r="X8" s="6">
        <f>IF(W8&lt;=-0.65,-1,IF(W8&gt;=0.65,ROUND(W8,0),0))</f>
        <v>0</v>
      </c>
    </row>
    <row r="9" spans="1:24" x14ac:dyDescent="0.2">
      <c r="A9">
        <v>12</v>
      </c>
      <c r="B9" s="4">
        <v>1559378.57</v>
      </c>
      <c r="C9" s="9">
        <f>B9/12</f>
        <v>129948.21416666667</v>
      </c>
      <c r="D9" s="4">
        <v>100957.38</v>
      </c>
      <c r="E9" s="4">
        <v>8413.1149999999998</v>
      </c>
      <c r="F9" s="5">
        <v>109587</v>
      </c>
      <c r="G9" t="s">
        <v>18</v>
      </c>
      <c r="H9" t="s">
        <v>21</v>
      </c>
      <c r="I9" t="s">
        <v>22</v>
      </c>
      <c r="J9" t="s">
        <v>178</v>
      </c>
      <c r="K9" s="10">
        <f>F9/(Q9*174*12)</f>
        <v>10.118836565096958</v>
      </c>
      <c r="L9" s="3">
        <v>14.229594477447099</v>
      </c>
      <c r="M9" s="2">
        <v>0.47914428502118001</v>
      </c>
      <c r="N9" s="1">
        <v>0.83141762452107304</v>
      </c>
      <c r="O9" s="1">
        <v>1.7756226053639801</v>
      </c>
      <c r="P9" s="1">
        <v>2.5797413793103399</v>
      </c>
      <c r="Q9" s="19">
        <v>5.1867816091953998</v>
      </c>
      <c r="R9" s="1">
        <v>1.1551724137931001</v>
      </c>
      <c r="S9" s="16">
        <f>Q9+R9</f>
        <v>6.3419540229884994</v>
      </c>
      <c r="T9" s="1">
        <v>0.40014367816092</v>
      </c>
      <c r="U9" s="1">
        <v>5.3148252666313756</v>
      </c>
      <c r="V9" s="1">
        <v>-0.12804365743597601</v>
      </c>
      <c r="W9" s="7">
        <v>0</v>
      </c>
      <c r="X9" s="6">
        <f>IF(W9&lt;=-0.65,-1,IF(W9&gt;=0.65,ROUND(W9,0),0))</f>
        <v>0</v>
      </c>
    </row>
    <row r="10" spans="1:24" x14ac:dyDescent="0.2">
      <c r="A10">
        <v>13</v>
      </c>
      <c r="B10" s="4">
        <v>744650.06</v>
      </c>
      <c r="C10" s="9">
        <f>B10/12</f>
        <v>62054.171666666669</v>
      </c>
      <c r="D10" s="4">
        <v>49397.2</v>
      </c>
      <c r="E10" s="4">
        <v>4116.4333333333334</v>
      </c>
      <c r="F10" s="5">
        <v>42016</v>
      </c>
      <c r="G10" t="s">
        <v>208</v>
      </c>
      <c r="H10" t="s">
        <v>37</v>
      </c>
      <c r="I10" t="s">
        <v>257</v>
      </c>
      <c r="J10" t="s">
        <v>316</v>
      </c>
      <c r="K10" s="10">
        <f>F10/(Q10*174*12)</f>
        <v>8.2030456852791769</v>
      </c>
      <c r="L10" s="3">
        <v>17.723011709824799</v>
      </c>
      <c r="M10" s="2">
        <v>0.62058719232494297</v>
      </c>
      <c r="N10" s="1">
        <v>0.66379310344827602</v>
      </c>
      <c r="O10" s="1">
        <v>0.87092911877394596</v>
      </c>
      <c r="P10" s="1">
        <v>0.91834291187739503</v>
      </c>
      <c r="Q10" s="19">
        <v>2.4530651340996199</v>
      </c>
      <c r="R10" s="1">
        <v>0.36637931034482801</v>
      </c>
      <c r="S10" s="16">
        <f>Q10+R10</f>
        <v>2.8194444444444478</v>
      </c>
      <c r="T10" s="1">
        <v>0.14248084291187699</v>
      </c>
      <c r="U10" s="1">
        <v>2.8276244812260498</v>
      </c>
      <c r="V10" s="1">
        <v>-0.37455934712643701</v>
      </c>
      <c r="W10" s="7">
        <v>0</v>
      </c>
      <c r="X10" s="6">
        <f>IF(W10&lt;=-0.65,-1,IF(W10&gt;=0.65,ROUND(W10,0),0))</f>
        <v>0</v>
      </c>
    </row>
    <row r="11" spans="1:24" x14ac:dyDescent="0.2">
      <c r="A11">
        <v>14</v>
      </c>
      <c r="B11" s="4">
        <v>1986298.47</v>
      </c>
      <c r="C11" s="9">
        <f>B11/12</f>
        <v>165524.8725</v>
      </c>
      <c r="D11" s="4">
        <v>109876.76</v>
      </c>
      <c r="E11" s="4">
        <v>9156.3966666666656</v>
      </c>
      <c r="F11" s="5">
        <v>128266</v>
      </c>
      <c r="G11" t="s">
        <v>18</v>
      </c>
      <c r="H11" t="s">
        <v>23</v>
      </c>
      <c r="I11" t="s">
        <v>24</v>
      </c>
      <c r="J11" t="s">
        <v>327</v>
      </c>
      <c r="K11" s="10">
        <f>F11/(Q11*174*12)</f>
        <v>11.593618655940707</v>
      </c>
      <c r="L11" s="3">
        <v>15.4857754198307</v>
      </c>
      <c r="M11" s="2">
        <v>0.50296070056379805</v>
      </c>
      <c r="N11" s="1">
        <v>0.86901340996168597</v>
      </c>
      <c r="O11" s="1">
        <v>2.69659961685824</v>
      </c>
      <c r="P11" s="1">
        <v>1.7329980842911901</v>
      </c>
      <c r="Q11" s="19">
        <v>5.2986111111111098</v>
      </c>
      <c r="R11" s="1">
        <v>1.01819923371648</v>
      </c>
      <c r="S11" s="16">
        <f>Q11+R11</f>
        <v>6.3168103448275899</v>
      </c>
      <c r="T11" s="1">
        <v>0.28400383141762497</v>
      </c>
      <c r="U11" s="1">
        <v>6.1370544489675343</v>
      </c>
      <c r="V11" s="1">
        <v>-0.838443337856421</v>
      </c>
      <c r="W11" s="7">
        <v>-0.70200346209202202</v>
      </c>
      <c r="X11" s="6">
        <f>IF(W11&lt;=-0.65,-1,IF(W11&gt;=0.65,ROUND(W11,0),0))</f>
        <v>-1</v>
      </c>
    </row>
    <row r="12" spans="1:24" x14ac:dyDescent="0.2">
      <c r="A12">
        <v>15</v>
      </c>
      <c r="B12" s="4">
        <v>1555373.54</v>
      </c>
      <c r="C12" s="9">
        <f>B12/12</f>
        <v>129614.46166666667</v>
      </c>
      <c r="D12" s="4">
        <v>115051.43</v>
      </c>
      <c r="E12" s="4">
        <v>9587.6191666666655</v>
      </c>
      <c r="F12" s="5">
        <v>114526</v>
      </c>
      <c r="G12" t="s">
        <v>18</v>
      </c>
      <c r="H12" t="s">
        <v>25</v>
      </c>
      <c r="I12" t="s">
        <v>26</v>
      </c>
      <c r="J12" t="s">
        <v>313</v>
      </c>
      <c r="K12" s="10">
        <f>F12/(Q12*174*12)</f>
        <v>12.120436024976193</v>
      </c>
      <c r="L12" s="3">
        <v>13.5809644971448</v>
      </c>
      <c r="M12" s="2">
        <v>0.48871585535652101</v>
      </c>
      <c r="N12" s="1">
        <v>0.73922413793103403</v>
      </c>
      <c r="O12" s="1">
        <v>1.9104406130268199</v>
      </c>
      <c r="P12" s="1">
        <v>1.8757183908046</v>
      </c>
      <c r="Q12" s="19">
        <v>4.5253831417624504</v>
      </c>
      <c r="R12" s="1">
        <v>0.49425287356321801</v>
      </c>
      <c r="S12" s="16">
        <f>Q12+R12</f>
        <v>5.0196360153256681</v>
      </c>
      <c r="T12" s="1">
        <v>0.23060344827586199</v>
      </c>
      <c r="U12" s="1">
        <v>5.5277965296119351</v>
      </c>
      <c r="V12" s="1">
        <v>-1.0024133878494801</v>
      </c>
      <c r="W12" s="7">
        <v>-0.45775917023086299</v>
      </c>
      <c r="X12" s="6">
        <f>IF(W12&lt;=-0.65,-1,IF(W12&gt;=0.65,ROUND(W12,0),0))</f>
        <v>0</v>
      </c>
    </row>
    <row r="13" spans="1:24" x14ac:dyDescent="0.2">
      <c r="A13">
        <v>16</v>
      </c>
      <c r="B13" s="4">
        <v>1115250.5900000001</v>
      </c>
      <c r="C13" s="9">
        <f>B13/12</f>
        <v>92937.549166666679</v>
      </c>
      <c r="D13" s="4">
        <v>83689.56</v>
      </c>
      <c r="E13" s="4">
        <v>6974.13</v>
      </c>
      <c r="F13" s="5">
        <v>71671</v>
      </c>
      <c r="G13" t="s">
        <v>18</v>
      </c>
      <c r="H13" t="s">
        <v>27</v>
      </c>
      <c r="I13" t="s">
        <v>28</v>
      </c>
      <c r="J13" t="s">
        <v>314</v>
      </c>
      <c r="K13" s="10">
        <f>F13/(Q13*174*12)</f>
        <v>8.6779271098195974</v>
      </c>
      <c r="L13" s="3">
        <v>15.5606952602866</v>
      </c>
      <c r="M13" s="2">
        <v>0.46458670781783701</v>
      </c>
      <c r="N13" s="1">
        <v>0.30196360153256702</v>
      </c>
      <c r="O13" s="1">
        <v>1.8297413793103401</v>
      </c>
      <c r="P13" s="1">
        <v>1.8237547892720301</v>
      </c>
      <c r="Q13" s="19">
        <v>3.9554597701149401</v>
      </c>
      <c r="R13" s="1">
        <v>1.24329501915709</v>
      </c>
      <c r="S13" s="16">
        <f>Q13+R13</f>
        <v>5.1987547892720301</v>
      </c>
      <c r="T13" s="1">
        <v>0.15421455938697301</v>
      </c>
      <c r="U13" s="1">
        <v>3.773298293943455</v>
      </c>
      <c r="V13" s="1">
        <v>0.182161476171491</v>
      </c>
      <c r="W13" s="7">
        <v>2.85568401911784E-2</v>
      </c>
      <c r="X13" s="6">
        <f>IF(W13&lt;=-0.65,-1,IF(W13&gt;=0.65,ROUND(W13,0),0))</f>
        <v>0</v>
      </c>
    </row>
    <row r="14" spans="1:24" x14ac:dyDescent="0.2">
      <c r="A14">
        <v>17</v>
      </c>
      <c r="B14" s="4">
        <v>946843.62</v>
      </c>
      <c r="C14" s="9">
        <f>B14/12</f>
        <v>78903.634999999995</v>
      </c>
      <c r="D14" s="4">
        <v>79484.09</v>
      </c>
      <c r="E14" s="4">
        <v>6623.6741666666667</v>
      </c>
      <c r="F14" s="5">
        <v>46145</v>
      </c>
      <c r="G14" t="s">
        <v>208</v>
      </c>
      <c r="H14" t="s">
        <v>98</v>
      </c>
      <c r="I14" t="s">
        <v>218</v>
      </c>
      <c r="J14" t="s">
        <v>357</v>
      </c>
      <c r="K14" s="10">
        <f>F14/(Q14*174*12)</f>
        <v>5.8926063082620441</v>
      </c>
      <c r="L14" s="3">
        <v>20.5188778849279</v>
      </c>
      <c r="M14" s="2">
        <v>0.69989971522435801</v>
      </c>
      <c r="N14" s="1">
        <v>0.71144636015325702</v>
      </c>
      <c r="O14" s="1">
        <v>1.3843390804597699</v>
      </c>
      <c r="P14" s="1">
        <v>1.65469348659004</v>
      </c>
      <c r="Q14" s="19">
        <v>3.7504789272030599</v>
      </c>
      <c r="R14" s="1">
        <v>1.1803160919540201</v>
      </c>
      <c r="S14" s="16">
        <f>Q14+R14</f>
        <v>4.9307950191570802</v>
      </c>
      <c r="T14" s="1">
        <v>0.14056513409961699</v>
      </c>
      <c r="U14" s="1">
        <v>3.1055010397509601</v>
      </c>
      <c r="V14" s="1">
        <v>0.64497788745210705</v>
      </c>
      <c r="W14" s="7">
        <v>0.56630067131107598</v>
      </c>
      <c r="X14" s="6">
        <f>IF(W14&lt;=-0.65,-1,IF(W14&gt;=0.65,ROUND(W14,0),0))</f>
        <v>0</v>
      </c>
    </row>
    <row r="15" spans="1:24" x14ac:dyDescent="0.2">
      <c r="A15">
        <v>18</v>
      </c>
      <c r="B15" s="4">
        <v>1167196.3</v>
      </c>
      <c r="C15" s="9">
        <f>B15/12</f>
        <v>97266.358333333337</v>
      </c>
      <c r="D15" s="4">
        <v>75585.34</v>
      </c>
      <c r="E15" s="4">
        <v>6298.7783333333327</v>
      </c>
      <c r="F15" s="5">
        <v>54404</v>
      </c>
      <c r="G15" t="s">
        <v>208</v>
      </c>
      <c r="H15" t="s">
        <v>98</v>
      </c>
      <c r="I15" t="s">
        <v>247</v>
      </c>
      <c r="J15" t="s">
        <v>356</v>
      </c>
      <c r="K15" s="10">
        <f>F15/(Q15*174*12)</f>
        <v>7.3037758013089391</v>
      </c>
      <c r="L15" s="3">
        <v>21.454236820822</v>
      </c>
      <c r="M15" s="2">
        <v>0.70084973710077703</v>
      </c>
      <c r="N15" s="1">
        <v>0.61482279693486597</v>
      </c>
      <c r="O15" s="1">
        <v>1.2564655172413799</v>
      </c>
      <c r="P15" s="1">
        <v>1.6961206896551699</v>
      </c>
      <c r="Q15" s="19">
        <v>3.5674090038314201</v>
      </c>
      <c r="R15" s="1">
        <v>0.95306513409961702</v>
      </c>
      <c r="S15" s="16">
        <f>Q15+R15</f>
        <v>4.5204741379310374</v>
      </c>
      <c r="T15" s="1">
        <v>0.60272988505747105</v>
      </c>
      <c r="U15" s="1">
        <v>3.66132145555556</v>
      </c>
      <c r="V15" s="1">
        <v>-9.3912451724138105E-2</v>
      </c>
      <c r="W15" s="7">
        <v>0</v>
      </c>
      <c r="X15" s="6">
        <f>IF(W15&lt;=-0.65,-1,IF(W15&gt;=0.65,ROUND(W15,0),0))</f>
        <v>0</v>
      </c>
    </row>
    <row r="16" spans="1:24" x14ac:dyDescent="0.2">
      <c r="A16">
        <v>19</v>
      </c>
      <c r="B16" s="4">
        <v>1215616.3500000001</v>
      </c>
      <c r="C16" s="9">
        <f>B16/12</f>
        <v>101301.3625</v>
      </c>
      <c r="D16" s="4">
        <v>83986.84</v>
      </c>
      <c r="E16" s="4">
        <v>6998.9033333333327</v>
      </c>
      <c r="F16" s="5">
        <v>57875</v>
      </c>
      <c r="G16" t="s">
        <v>18</v>
      </c>
      <c r="H16" t="s">
        <v>27</v>
      </c>
      <c r="I16" t="s">
        <v>29</v>
      </c>
      <c r="J16" t="s">
        <v>315</v>
      </c>
      <c r="K16" s="10">
        <f>F16/(Q16*174*12)</f>
        <v>6.805220765477106</v>
      </c>
      <c r="L16" s="3">
        <v>21.0041701943845</v>
      </c>
      <c r="M16" s="2">
        <v>0.65123986692018399</v>
      </c>
      <c r="N16" s="1">
        <v>0.107040229885057</v>
      </c>
      <c r="O16" s="1">
        <v>2.3249521072796901</v>
      </c>
      <c r="P16" s="1">
        <v>1.64104406130268</v>
      </c>
      <c r="Q16" s="19">
        <v>4.0730363984674298</v>
      </c>
      <c r="R16" s="1">
        <v>0.76149425287356298</v>
      </c>
      <c r="S16" s="16">
        <f>Q16+R16</f>
        <v>4.8345306513409927</v>
      </c>
      <c r="T16" s="1">
        <v>3.0651340996168602E-2</v>
      </c>
      <c r="U16" s="1">
        <v>3.2484202096283052</v>
      </c>
      <c r="V16" s="1">
        <v>0.82461618883912602</v>
      </c>
      <c r="W16" s="7">
        <v>0</v>
      </c>
      <c r="X16" s="6">
        <f>IF(W16&lt;=-0.65,-1,IF(W16&gt;=0.65,ROUND(W16,0),0))</f>
        <v>0</v>
      </c>
    </row>
    <row r="17" spans="1:24" x14ac:dyDescent="0.2">
      <c r="A17">
        <v>22</v>
      </c>
      <c r="B17" s="4">
        <v>3139745.35</v>
      </c>
      <c r="C17" s="9">
        <f>B17/12</f>
        <v>261645.44583333333</v>
      </c>
      <c r="D17" s="4">
        <v>76747.070000000007</v>
      </c>
      <c r="E17" s="4">
        <v>6395.5891666666676</v>
      </c>
      <c r="F17" s="5">
        <v>43228</v>
      </c>
      <c r="G17" t="s">
        <v>136</v>
      </c>
      <c r="H17" t="s">
        <v>19</v>
      </c>
      <c r="I17" t="s">
        <v>139</v>
      </c>
      <c r="J17" t="s">
        <v>312</v>
      </c>
      <c r="K17" s="10">
        <f>F17/(Q17*174*12)</f>
        <v>6.4413649232603296</v>
      </c>
      <c r="L17" s="3">
        <v>72.632214074211205</v>
      </c>
      <c r="M17" s="2">
        <v>0.93175557374422102</v>
      </c>
      <c r="N17" s="1">
        <v>0.89152298850574696</v>
      </c>
      <c r="O17" s="1">
        <v>4.9090038314176201E-2</v>
      </c>
      <c r="P17" s="1">
        <v>2.27346743295019</v>
      </c>
      <c r="Q17" s="19">
        <v>3.21408045977011</v>
      </c>
      <c r="R17" s="1">
        <v>1.1285919540229901</v>
      </c>
      <c r="S17" s="16">
        <f>Q17+R17</f>
        <v>4.3426724137930997</v>
      </c>
      <c r="T17" s="1">
        <v>0.16594827586206901</v>
      </c>
      <c r="U17" s="1">
        <v>3.18124748065134</v>
      </c>
      <c r="V17" s="1">
        <v>3.28329791187736E-2</v>
      </c>
      <c r="W17" s="7">
        <v>0</v>
      </c>
      <c r="X17" s="6">
        <f>IF(W17&lt;=-0.65,-1,IF(W17&gt;=0.65,ROUND(W17,0),0))</f>
        <v>0</v>
      </c>
    </row>
    <row r="18" spans="1:24" x14ac:dyDescent="0.2">
      <c r="A18">
        <v>25</v>
      </c>
      <c r="B18" s="4">
        <v>2572014.98</v>
      </c>
      <c r="C18" s="9">
        <f>B18/12</f>
        <v>214334.58166666667</v>
      </c>
      <c r="D18" s="4">
        <v>131546.51</v>
      </c>
      <c r="E18" s="4">
        <v>10962.209166666667</v>
      </c>
      <c r="F18" s="5">
        <v>152541</v>
      </c>
      <c r="G18" t="s">
        <v>18</v>
      </c>
      <c r="H18" t="s">
        <v>21</v>
      </c>
      <c r="I18" t="s">
        <v>30</v>
      </c>
      <c r="J18" t="s">
        <v>178</v>
      </c>
      <c r="K18" s="10">
        <f>F18/(Q18*174*12)</f>
        <v>10.617087175917879</v>
      </c>
      <c r="L18" s="3">
        <v>16.861138841360699</v>
      </c>
      <c r="M18" s="2">
        <v>0.62656920061950805</v>
      </c>
      <c r="N18" s="1">
        <v>0.86494252873563204</v>
      </c>
      <c r="O18" s="1">
        <v>3.4703065134099602</v>
      </c>
      <c r="P18" s="1">
        <v>2.54573754789272</v>
      </c>
      <c r="Q18" s="19">
        <v>6.8809865900383098</v>
      </c>
      <c r="R18" s="1">
        <v>0.81992337164750995</v>
      </c>
      <c r="S18" s="16">
        <f>Q18+R18</f>
        <v>7.7009099616858201</v>
      </c>
      <c r="T18" s="1">
        <v>6.9444444444444397E-3</v>
      </c>
      <c r="U18" s="1">
        <v>7.2801690928337806</v>
      </c>
      <c r="V18" s="1">
        <v>-0.39918250279546502</v>
      </c>
      <c r="W18" s="7">
        <v>-0.48669711788284398</v>
      </c>
      <c r="X18" s="6">
        <f>IF(W18&lt;=-0.65,-1,IF(W18&gt;=0.65,ROUND(W18,0),0))</f>
        <v>0</v>
      </c>
    </row>
    <row r="19" spans="1:24" x14ac:dyDescent="0.2">
      <c r="A19">
        <v>26</v>
      </c>
      <c r="B19" s="4">
        <v>1924848.33</v>
      </c>
      <c r="C19" s="9">
        <f>B19/12</f>
        <v>160404.0275</v>
      </c>
      <c r="D19" s="4">
        <v>76040.740000000005</v>
      </c>
      <c r="E19" s="4">
        <v>6336.7283333333335</v>
      </c>
      <c r="F19" s="5">
        <v>70712</v>
      </c>
      <c r="G19" t="s">
        <v>136</v>
      </c>
      <c r="H19" t="s">
        <v>25</v>
      </c>
      <c r="I19" t="s">
        <v>140</v>
      </c>
      <c r="J19" t="s">
        <v>348</v>
      </c>
      <c r="K19" s="10">
        <f>F19/(Q19*174*12)</f>
        <v>8.0441385586712943</v>
      </c>
      <c r="L19" s="3">
        <v>27.220957263265099</v>
      </c>
      <c r="M19" s="2">
        <v>0.81155228994068296</v>
      </c>
      <c r="N19" s="1">
        <v>0.873084291187739</v>
      </c>
      <c r="O19" s="1">
        <v>0.89655172413793105</v>
      </c>
      <c r="P19" s="1">
        <v>2.4403735632183898</v>
      </c>
      <c r="Q19" s="19">
        <v>4.2100095785440601</v>
      </c>
      <c r="R19" s="1">
        <v>1.1376915708812301</v>
      </c>
      <c r="S19" s="16">
        <f>Q19+R19</f>
        <v>5.3477011494252906</v>
      </c>
      <c r="T19" s="1">
        <v>0.13026819923371599</v>
      </c>
      <c r="U19" s="1">
        <v>5.2038579590038303</v>
      </c>
      <c r="V19" s="1">
        <v>-0.99384838045977097</v>
      </c>
      <c r="W19" s="7">
        <v>-0.84634686166737505</v>
      </c>
      <c r="X19" s="6">
        <f>IF(W19&lt;=-0.65,-1,IF(W19&gt;=0.65,ROUND(W19,0),0))</f>
        <v>-1</v>
      </c>
    </row>
    <row r="20" spans="1:24" x14ac:dyDescent="0.2">
      <c r="A20">
        <v>27</v>
      </c>
      <c r="B20" s="4">
        <v>1454841.82</v>
      </c>
      <c r="C20" s="9">
        <f>B20/12</f>
        <v>121236.81833333334</v>
      </c>
      <c r="D20" s="4">
        <v>111250.19</v>
      </c>
      <c r="E20" s="4">
        <v>9270.8491666666669</v>
      </c>
      <c r="F20" s="5">
        <v>94020</v>
      </c>
      <c r="G20" t="s">
        <v>18</v>
      </c>
      <c r="H20" t="s">
        <v>31</v>
      </c>
      <c r="I20" t="s">
        <v>32</v>
      </c>
      <c r="J20" t="s">
        <v>175</v>
      </c>
      <c r="K20" s="10">
        <f>F20/(Q20*174*12)</f>
        <v>8.2709478777215768</v>
      </c>
      <c r="L20" s="3">
        <v>15.473748351414599</v>
      </c>
      <c r="M20" s="2">
        <v>0.41951794456939701</v>
      </c>
      <c r="N20" s="1">
        <v>0.75814176245210696</v>
      </c>
      <c r="O20" s="1">
        <v>2.1233237547892698</v>
      </c>
      <c r="P20" s="1">
        <v>2.5627394636015302</v>
      </c>
      <c r="Q20" s="19">
        <v>5.44420498084291</v>
      </c>
      <c r="R20" s="1">
        <v>0.57543103448275901</v>
      </c>
      <c r="S20" s="16">
        <f>Q20+R20</f>
        <v>6.0196360153256689</v>
      </c>
      <c r="T20" s="1">
        <v>0.48491379310344801</v>
      </c>
      <c r="U20" s="1">
        <v>4.6628629644615494</v>
      </c>
      <c r="V20" s="1">
        <v>0.78134201638136502</v>
      </c>
      <c r="W20" s="7">
        <v>0.64328992337857405</v>
      </c>
      <c r="X20" s="6">
        <f>IF(W20&lt;=-0.65,-1,IF(W20&gt;=0.65,ROUND(W20,0),0))</f>
        <v>0</v>
      </c>
    </row>
    <row r="21" spans="1:24" x14ac:dyDescent="0.2">
      <c r="A21">
        <v>29</v>
      </c>
      <c r="B21" s="4">
        <v>3133673.76</v>
      </c>
      <c r="C21" s="9">
        <f>B21/12</f>
        <v>261139.47999999998</v>
      </c>
      <c r="D21" s="4">
        <v>174433.94</v>
      </c>
      <c r="E21" s="4">
        <v>14536.161666666667</v>
      </c>
      <c r="F21" s="5">
        <v>171852</v>
      </c>
      <c r="G21" t="s">
        <v>18</v>
      </c>
      <c r="H21" t="s">
        <v>33</v>
      </c>
      <c r="I21" t="s">
        <v>34</v>
      </c>
      <c r="J21" t="s">
        <v>235</v>
      </c>
      <c r="K21" s="10">
        <f>F21/(Q21*174*12)</f>
        <v>9.5923641539449083</v>
      </c>
      <c r="L21" s="3">
        <v>18.234723832134598</v>
      </c>
      <c r="M21" s="2">
        <v>0.56608887071894798</v>
      </c>
      <c r="N21" s="1">
        <v>0.87260536398467403</v>
      </c>
      <c r="O21" s="1">
        <v>3.4272030651340999</v>
      </c>
      <c r="P21" s="1">
        <v>4.2804118773946396</v>
      </c>
      <c r="Q21" s="19">
        <v>8.5802203065134108</v>
      </c>
      <c r="R21" s="1">
        <v>2.25454980842912</v>
      </c>
      <c r="S21" s="16">
        <f>Q21+R21</f>
        <v>10.834770114942531</v>
      </c>
      <c r="T21" s="1">
        <v>0.17552681992337199</v>
      </c>
      <c r="U21" s="1">
        <v>8.2590133660468155</v>
      </c>
      <c r="V21" s="1">
        <v>0.32120694046659398</v>
      </c>
      <c r="W21" s="7">
        <v>0</v>
      </c>
      <c r="X21" s="6">
        <f>IF(W21&lt;=-0.65,-1,IF(W21&gt;=0.65,ROUND(W21,0),0))</f>
        <v>0</v>
      </c>
    </row>
    <row r="22" spans="1:24" x14ac:dyDescent="0.2">
      <c r="A22">
        <v>30</v>
      </c>
      <c r="B22" s="4">
        <v>946284.79</v>
      </c>
      <c r="C22" s="9">
        <f>B22/12</f>
        <v>78857.065833333341</v>
      </c>
      <c r="D22" s="4">
        <v>91939.89</v>
      </c>
      <c r="E22" s="4">
        <v>7661.6575000000003</v>
      </c>
      <c r="F22" s="5">
        <v>65954</v>
      </c>
      <c r="G22" t="s">
        <v>18</v>
      </c>
      <c r="H22" t="s">
        <v>35</v>
      </c>
      <c r="I22" t="s">
        <v>36</v>
      </c>
      <c r="J22" t="s">
        <v>308</v>
      </c>
      <c r="K22" s="10">
        <f>F22/(Q22*174*12)</f>
        <v>7.8158440481128251</v>
      </c>
      <c r="L22" s="3">
        <v>14.347648209358001</v>
      </c>
      <c r="M22" s="2">
        <v>0.30825343816421302</v>
      </c>
      <c r="N22" s="1">
        <v>0.80699233716475105</v>
      </c>
      <c r="O22" s="1">
        <v>1.5155651340996199</v>
      </c>
      <c r="P22" s="1">
        <v>1.71886973180077</v>
      </c>
      <c r="Q22" s="19">
        <v>4.0414272030651297</v>
      </c>
      <c r="R22" s="1">
        <v>0.67816091954022995</v>
      </c>
      <c r="S22" s="16">
        <f>Q22+R22</f>
        <v>4.7195881226053595</v>
      </c>
      <c r="T22" s="1">
        <v>0.30411877394636</v>
      </c>
      <c r="U22" s="1">
        <v>3.5536884412380303</v>
      </c>
      <c r="V22" s="1">
        <v>0.48773876182710302</v>
      </c>
      <c r="W22" s="7">
        <v>0.52843336937838403</v>
      </c>
      <c r="X22" s="6">
        <f>IF(W22&lt;=-0.65,-1,IF(W22&gt;=0.65,ROUND(W22,0),0))</f>
        <v>0</v>
      </c>
    </row>
    <row r="23" spans="1:24" x14ac:dyDescent="0.2">
      <c r="A23">
        <v>31</v>
      </c>
      <c r="B23" s="4">
        <v>1650538.07</v>
      </c>
      <c r="C23" s="9">
        <f>B23/12</f>
        <v>137544.83916666667</v>
      </c>
      <c r="D23" s="4">
        <v>108468.02</v>
      </c>
      <c r="E23" s="4">
        <v>9039.001666666667</v>
      </c>
      <c r="F23" s="5">
        <v>101084</v>
      </c>
      <c r="G23" t="s">
        <v>18</v>
      </c>
      <c r="H23" t="s">
        <v>37</v>
      </c>
      <c r="I23" t="s">
        <v>38</v>
      </c>
      <c r="J23" t="s">
        <v>316</v>
      </c>
      <c r="K23" s="10">
        <f>F23/(Q23*174*12)</f>
        <v>9.2801468900619746</v>
      </c>
      <c r="L23" s="3">
        <v>16.328381049424198</v>
      </c>
      <c r="M23" s="2">
        <v>0.56986483807671295</v>
      </c>
      <c r="N23" s="1">
        <v>0.89631226053639801</v>
      </c>
      <c r="O23" s="1">
        <v>1.7909482758620701</v>
      </c>
      <c r="P23" s="1">
        <v>2.5294540229885101</v>
      </c>
      <c r="Q23" s="19">
        <v>5.2167145593869702</v>
      </c>
      <c r="R23" s="1">
        <v>0.70881226053639801</v>
      </c>
      <c r="S23" s="16">
        <f>Q23+R23</f>
        <v>5.9255268199233679</v>
      </c>
      <c r="T23" s="1">
        <v>0.157567049808429</v>
      </c>
      <c r="U23" s="1">
        <v>4.9551923142181007</v>
      </c>
      <c r="V23" s="1">
        <v>0.26152224516887301</v>
      </c>
      <c r="W23" s="7">
        <v>0</v>
      </c>
      <c r="X23" s="6">
        <f>IF(W23&lt;=-0.65,-1,IF(W23&gt;=0.65,ROUND(W23,0),0))</f>
        <v>0</v>
      </c>
    </row>
    <row r="24" spans="1:24" x14ac:dyDescent="0.2">
      <c r="A24">
        <v>32</v>
      </c>
      <c r="B24" s="4">
        <v>895421.91</v>
      </c>
      <c r="C24" s="9">
        <f>B24/12</f>
        <v>74618.492500000008</v>
      </c>
      <c r="D24" s="4">
        <v>71748.44</v>
      </c>
      <c r="E24" s="4">
        <v>5979.0366666666669</v>
      </c>
      <c r="F24" s="5">
        <v>43445</v>
      </c>
      <c r="G24" t="s">
        <v>136</v>
      </c>
      <c r="H24" t="s">
        <v>19</v>
      </c>
      <c r="I24" t="s">
        <v>141</v>
      </c>
      <c r="J24" t="s">
        <v>350</v>
      </c>
      <c r="K24" s="10">
        <f>F24/(Q24*174*12)</f>
        <v>6.6383986553594623</v>
      </c>
      <c r="L24" s="3">
        <v>20.610470940269298</v>
      </c>
      <c r="M24" s="2">
        <v>0.76305803149266205</v>
      </c>
      <c r="N24" s="1">
        <v>0.78400383141762497</v>
      </c>
      <c r="O24" s="1">
        <v>0.84865900383141801</v>
      </c>
      <c r="P24" s="1">
        <v>1.50167624521073</v>
      </c>
      <c r="Q24" s="19">
        <v>3.1343390804597702</v>
      </c>
      <c r="R24" s="1">
        <v>0.74281609195402298</v>
      </c>
      <c r="S24" s="16">
        <f>Q24+R24</f>
        <v>3.8771551724137931</v>
      </c>
      <c r="T24" s="1">
        <v>5.7471264367816098E-2</v>
      </c>
      <c r="U24" s="1">
        <v>3.1972170074233701</v>
      </c>
      <c r="V24" s="1">
        <v>-6.2877926963601297E-2</v>
      </c>
      <c r="W24" s="7">
        <v>0</v>
      </c>
      <c r="X24" s="6">
        <f>IF(W24&lt;=-0.65,-1,IF(W24&gt;=0.65,ROUND(W24,0),0))</f>
        <v>0</v>
      </c>
    </row>
    <row r="25" spans="1:24" x14ac:dyDescent="0.2">
      <c r="A25">
        <v>33</v>
      </c>
      <c r="B25" s="4">
        <v>2518066.8199999998</v>
      </c>
      <c r="C25" s="9">
        <f>B25/12</f>
        <v>209838.90166666664</v>
      </c>
      <c r="D25" s="4">
        <v>148477.99</v>
      </c>
      <c r="E25" s="4">
        <v>12373.165833333333</v>
      </c>
      <c r="F25" s="5">
        <v>131028</v>
      </c>
      <c r="G25" t="s">
        <v>18</v>
      </c>
      <c r="H25" t="s">
        <v>33</v>
      </c>
      <c r="I25" t="s">
        <v>39</v>
      </c>
      <c r="J25" t="s">
        <v>343</v>
      </c>
      <c r="K25" s="10">
        <f>F25/(Q25*174*12)</f>
        <v>10.485595390524958</v>
      </c>
      <c r="L25" s="3">
        <v>19.217776505785</v>
      </c>
      <c r="M25" s="2">
        <v>0.52088017267150999</v>
      </c>
      <c r="N25" s="1">
        <v>0.97509578544061304</v>
      </c>
      <c r="O25" s="1">
        <v>2.48778735632184</v>
      </c>
      <c r="P25" s="1">
        <v>2.5217911877394599</v>
      </c>
      <c r="Q25" s="19">
        <v>5.98467432950192</v>
      </c>
      <c r="R25" s="1">
        <v>1.0727969348659001</v>
      </c>
      <c r="S25" s="16">
        <f>Q25+R25</f>
        <v>7.0574712643678197</v>
      </c>
      <c r="T25" s="1">
        <v>0.49401340996168602</v>
      </c>
      <c r="U25" s="1">
        <v>6.2626586267885447</v>
      </c>
      <c r="V25" s="1">
        <v>-0.27798429728662799</v>
      </c>
      <c r="W25" s="7">
        <v>-0.66646352792489505</v>
      </c>
      <c r="X25" s="6">
        <f>IF(W25&lt;=-0.65,-1,IF(W25&gt;=0.65,ROUND(W25,0),0))</f>
        <v>-1</v>
      </c>
    </row>
    <row r="26" spans="1:24" x14ac:dyDescent="0.2">
      <c r="A26">
        <v>34</v>
      </c>
      <c r="B26" s="4">
        <v>1839086.11</v>
      </c>
      <c r="C26" s="9">
        <f>B26/12</f>
        <v>153257.17583333334</v>
      </c>
      <c r="D26" s="4">
        <v>127685.81</v>
      </c>
      <c r="E26" s="4">
        <v>10640.484166666667</v>
      </c>
      <c r="F26" s="5">
        <v>109134</v>
      </c>
      <c r="G26" t="s">
        <v>18</v>
      </c>
      <c r="H26" t="s">
        <v>40</v>
      </c>
      <c r="I26" t="s">
        <v>41</v>
      </c>
      <c r="J26" t="s">
        <v>317</v>
      </c>
      <c r="K26" s="10">
        <f>F26/(Q26*174*12)</f>
        <v>9.5601594323507477</v>
      </c>
      <c r="L26" s="3">
        <v>16.8516329466527</v>
      </c>
      <c r="M26" s="2">
        <v>0.53234436097176496</v>
      </c>
      <c r="N26" s="1">
        <v>0.77227011494252895</v>
      </c>
      <c r="O26" s="1">
        <v>2.4113984674329498</v>
      </c>
      <c r="P26" s="1">
        <v>2.28352490421456</v>
      </c>
      <c r="Q26" s="19">
        <v>5.4671934865900402</v>
      </c>
      <c r="R26" s="1">
        <v>1.34985632183908</v>
      </c>
      <c r="S26" s="16">
        <f>Q26+R26</f>
        <v>6.81704980842912</v>
      </c>
      <c r="T26" s="1">
        <v>0.225814176245211</v>
      </c>
      <c r="U26" s="1">
        <v>5.2954445529009053</v>
      </c>
      <c r="V26" s="1">
        <v>0.17174893368913099</v>
      </c>
      <c r="W26" s="7">
        <v>0</v>
      </c>
      <c r="X26" s="6">
        <f>IF(W26&lt;=-0.65,-1,IF(W26&gt;=0.65,ROUND(W26,0),0))</f>
        <v>0</v>
      </c>
    </row>
    <row r="27" spans="1:24" x14ac:dyDescent="0.2">
      <c r="A27">
        <v>35</v>
      </c>
      <c r="B27" s="4">
        <v>548531.97</v>
      </c>
      <c r="C27" s="9">
        <f>B27/12</f>
        <v>45710.997499999998</v>
      </c>
      <c r="D27" s="4">
        <v>64822.46</v>
      </c>
      <c r="E27" s="4">
        <v>5401.8716666666669</v>
      </c>
      <c r="F27" s="5">
        <v>28041</v>
      </c>
      <c r="G27" t="s">
        <v>208</v>
      </c>
      <c r="H27" t="s">
        <v>61</v>
      </c>
      <c r="I27" t="s">
        <v>220</v>
      </c>
      <c r="J27" t="s">
        <v>340</v>
      </c>
      <c r="K27" s="10">
        <f>F27/(Q27*174*12)</f>
        <v>5.3666985645932925</v>
      </c>
      <c r="L27" s="3">
        <v>19.5617834599337</v>
      </c>
      <c r="M27" s="2">
        <v>0.61421384427237702</v>
      </c>
      <c r="N27" s="1">
        <v>0.79046934865900398</v>
      </c>
      <c r="O27" s="1">
        <v>0.85225095785440597</v>
      </c>
      <c r="P27" s="1">
        <v>0.85967432950191602</v>
      </c>
      <c r="Q27" s="19">
        <v>2.50239463601533</v>
      </c>
      <c r="R27" s="1">
        <v>0.358706896551724</v>
      </c>
      <c r="S27" s="16">
        <f>Q27+R27</f>
        <v>2.8611015325670541</v>
      </c>
      <c r="T27" s="1">
        <v>1.31704980842912E-2</v>
      </c>
      <c r="U27" s="1">
        <v>1.8871243830459801</v>
      </c>
      <c r="V27" s="1">
        <v>0.61527025296934801</v>
      </c>
      <c r="W27" s="7">
        <v>0.55884829798359803</v>
      </c>
      <c r="X27" s="6">
        <f>IF(W27&lt;=-0.65,-1,IF(W27&gt;=0.65,ROUND(W27,0),0))</f>
        <v>0</v>
      </c>
    </row>
    <row r="28" spans="1:24" x14ac:dyDescent="0.2">
      <c r="A28">
        <v>36</v>
      </c>
      <c r="B28" s="4">
        <v>2445001.64</v>
      </c>
      <c r="C28" s="9">
        <f>B28/12</f>
        <v>203750.13666666669</v>
      </c>
      <c r="D28" s="4">
        <v>153156.67000000001</v>
      </c>
      <c r="E28" s="4">
        <v>12763.055833333334</v>
      </c>
      <c r="F28" s="5">
        <v>134069</v>
      </c>
      <c r="G28" t="s">
        <v>18</v>
      </c>
      <c r="H28" t="s">
        <v>19</v>
      </c>
      <c r="I28" t="s">
        <v>42</v>
      </c>
      <c r="J28" t="s">
        <v>318</v>
      </c>
      <c r="K28" s="10">
        <f>F28/(Q28*174*12)</f>
        <v>9.5205936656724877</v>
      </c>
      <c r="L28" s="3">
        <v>18.236890258001502</v>
      </c>
      <c r="M28" s="2">
        <v>0.54755979222983298</v>
      </c>
      <c r="N28" s="1">
        <v>0.90828544061302696</v>
      </c>
      <c r="O28" s="1">
        <v>1.8824233716475101</v>
      </c>
      <c r="P28" s="1">
        <v>3.9535440613026802</v>
      </c>
      <c r="Q28" s="19">
        <v>6.7442528735632203</v>
      </c>
      <c r="R28" s="1">
        <v>1.3160919540229901</v>
      </c>
      <c r="S28" s="16">
        <f>Q28+R28</f>
        <v>8.06034482758621</v>
      </c>
      <c r="T28" s="1">
        <v>0.37715517241379298</v>
      </c>
      <c r="U28" s="1">
        <v>6.4022187040364642</v>
      </c>
      <c r="V28" s="1">
        <v>0.34203416952675703</v>
      </c>
      <c r="W28" s="7">
        <v>0</v>
      </c>
      <c r="X28" s="6">
        <f>IF(W28&lt;=-0.65,-1,IF(W28&gt;=0.65,ROUND(W28,0),0))</f>
        <v>0</v>
      </c>
    </row>
    <row r="29" spans="1:24" x14ac:dyDescent="0.2">
      <c r="A29">
        <v>37</v>
      </c>
      <c r="B29" s="4">
        <v>1284620.18</v>
      </c>
      <c r="C29" s="9">
        <f>B29/12</f>
        <v>107051.68166666666</v>
      </c>
      <c r="D29" s="4">
        <v>73240.22</v>
      </c>
      <c r="E29" s="4">
        <v>6103.3516666666665</v>
      </c>
      <c r="F29" s="5">
        <v>57076</v>
      </c>
      <c r="G29" t="s">
        <v>136</v>
      </c>
      <c r="H29" t="s">
        <v>21</v>
      </c>
      <c r="I29" t="s">
        <v>142</v>
      </c>
      <c r="J29" t="s">
        <v>351</v>
      </c>
      <c r="K29" s="10">
        <f>F29/(Q29*174*12)</f>
        <v>10.152258982568496</v>
      </c>
      <c r="L29" s="3">
        <v>22.507186558273201</v>
      </c>
      <c r="M29" s="2">
        <v>0.72071895211859405</v>
      </c>
      <c r="N29" s="1">
        <v>0.60296934865900398</v>
      </c>
      <c r="O29" s="1">
        <v>2.0696839080459801</v>
      </c>
      <c r="P29" s="1">
        <v>1.9875478927203101E-2</v>
      </c>
      <c r="Q29" s="19">
        <v>2.6925287356321799</v>
      </c>
      <c r="R29" s="1">
        <v>0.65086206896551702</v>
      </c>
      <c r="S29" s="16">
        <f>Q29+R29</f>
        <v>3.3433908045976968</v>
      </c>
      <c r="T29" s="1">
        <v>1.9875478927203101E-2</v>
      </c>
      <c r="U29" s="1">
        <v>4.2003535024904197</v>
      </c>
      <c r="V29" s="1">
        <v>-1.5078247668582401</v>
      </c>
      <c r="W29" s="7">
        <v>-1.29934081230672</v>
      </c>
      <c r="X29" s="6">
        <v>-1</v>
      </c>
    </row>
    <row r="30" spans="1:24" x14ac:dyDescent="0.2">
      <c r="A30">
        <v>38</v>
      </c>
      <c r="B30" s="4">
        <v>1808212.21</v>
      </c>
      <c r="C30" s="9">
        <f>B30/12</f>
        <v>150684.35083333333</v>
      </c>
      <c r="D30" s="4">
        <v>122709.42</v>
      </c>
      <c r="E30" s="4">
        <v>10225.785</v>
      </c>
      <c r="F30" s="5">
        <v>110528</v>
      </c>
      <c r="G30" t="s">
        <v>18</v>
      </c>
      <c r="H30" t="s">
        <v>43</v>
      </c>
      <c r="I30" t="s">
        <v>44</v>
      </c>
      <c r="J30" t="s">
        <v>319</v>
      </c>
      <c r="K30" s="10">
        <f>F30/(Q30*174*12)</f>
        <v>8.8757904880448066</v>
      </c>
      <c r="L30" s="3">
        <v>16.359765941661799</v>
      </c>
      <c r="M30" s="2">
        <v>0.55432958833963397</v>
      </c>
      <c r="N30" s="1">
        <v>0.827346743295019</v>
      </c>
      <c r="O30" s="1">
        <v>2.6041666666666701</v>
      </c>
      <c r="P30" s="1">
        <v>2.5324473180076601</v>
      </c>
      <c r="Q30" s="19">
        <v>5.9639607279693498</v>
      </c>
      <c r="R30" s="1">
        <v>0.73156130268199204</v>
      </c>
      <c r="S30" s="16">
        <f>Q30+R30</f>
        <v>6.6955220306513414</v>
      </c>
      <c r="T30" s="1">
        <v>4.7653256704980801E-2</v>
      </c>
      <c r="U30" s="1">
        <v>5.3551653985788201</v>
      </c>
      <c r="V30" s="1">
        <v>0.60879532939052405</v>
      </c>
      <c r="W30" s="7">
        <v>0.29956028830720099</v>
      </c>
      <c r="X30" s="6">
        <f>IF(W30&lt;=-0.65,-1,IF(W30&gt;=0.65,ROUND(W30,0),0))</f>
        <v>0</v>
      </c>
    </row>
    <row r="31" spans="1:24" x14ac:dyDescent="0.2">
      <c r="A31">
        <v>39</v>
      </c>
      <c r="B31" s="4">
        <v>2247321.16</v>
      </c>
      <c r="C31" s="9">
        <f>B31/12</f>
        <v>187276.76333333334</v>
      </c>
      <c r="D31" s="4">
        <v>126149.9</v>
      </c>
      <c r="E31" s="4">
        <v>10512.491666666667</v>
      </c>
      <c r="F31" s="5">
        <v>139377</v>
      </c>
      <c r="G31" t="s">
        <v>18</v>
      </c>
      <c r="H31" t="s">
        <v>23</v>
      </c>
      <c r="I31" t="s">
        <v>45</v>
      </c>
      <c r="J31" t="s">
        <v>320</v>
      </c>
      <c r="K31" s="10">
        <f>F31/(Q31*174*12)</f>
        <v>10.192102376599633</v>
      </c>
      <c r="L31" s="3">
        <v>16.124046004720999</v>
      </c>
      <c r="M31" s="2">
        <v>0.58246483115034597</v>
      </c>
      <c r="N31" s="1">
        <v>0.83620689655172398</v>
      </c>
      <c r="O31" s="1">
        <v>2.5007183908045998</v>
      </c>
      <c r="P31" s="1">
        <v>3.2124042145593901</v>
      </c>
      <c r="Q31" s="19">
        <v>6.5493295019157101</v>
      </c>
      <c r="R31" s="1">
        <v>1.4272030651340999</v>
      </c>
      <c r="S31" s="16">
        <f>Q31+R31</f>
        <v>7.9765325670498104</v>
      </c>
      <c r="T31" s="1">
        <v>3.6159003831417597E-2</v>
      </c>
      <c r="U31" s="1">
        <v>6.6490853400440946</v>
      </c>
      <c r="V31" s="1">
        <v>-9.9755838128389798E-2</v>
      </c>
      <c r="W31" s="7">
        <v>-7.4830300757284904E-2</v>
      </c>
      <c r="X31" s="6">
        <f>IF(W31&lt;=-0.65,-1,IF(W31&gt;=0.65,ROUND(W31,0),0))</f>
        <v>0</v>
      </c>
    </row>
    <row r="32" spans="1:24" x14ac:dyDescent="0.2">
      <c r="A32">
        <v>40</v>
      </c>
      <c r="B32" s="4">
        <v>715751.38</v>
      </c>
      <c r="C32" s="9">
        <f>B32/12</f>
        <v>59645.948333333334</v>
      </c>
      <c r="D32" s="4">
        <v>54388.31</v>
      </c>
      <c r="E32" s="4">
        <v>4532.3591666666662</v>
      </c>
      <c r="F32" s="5">
        <v>39991</v>
      </c>
      <c r="G32" t="s">
        <v>270</v>
      </c>
      <c r="H32" t="s">
        <v>27</v>
      </c>
      <c r="I32" t="s">
        <v>303</v>
      </c>
      <c r="J32" t="s">
        <v>326</v>
      </c>
      <c r="K32" s="10">
        <f>F32/(Q32*174*12)</f>
        <v>8.6918061291023765</v>
      </c>
      <c r="L32" s="3">
        <v>17.8978115075892</v>
      </c>
      <c r="M32" s="2">
        <v>0.62565940145305798</v>
      </c>
      <c r="N32" s="1">
        <v>0.80268199233716497</v>
      </c>
      <c r="O32" s="1">
        <v>0.58764367816092</v>
      </c>
      <c r="P32" s="1">
        <v>0.81321839080459801</v>
      </c>
      <c r="Q32" s="19">
        <v>2.2035440613026802</v>
      </c>
      <c r="R32" s="1">
        <v>0.44827586206896602</v>
      </c>
      <c r="S32" s="16">
        <f>Q32+R32</f>
        <v>2.6518199233716464</v>
      </c>
      <c r="T32" s="1">
        <v>3.7835249042145601E-2</v>
      </c>
      <c r="U32" s="1">
        <v>2.8402381972222202</v>
      </c>
      <c r="V32" s="1">
        <v>-0.63669413591954005</v>
      </c>
      <c r="W32" s="7">
        <v>-0.43479352415979999</v>
      </c>
      <c r="X32" s="6">
        <f>IF(W32&lt;=-0.65,-1,IF(W32&gt;=0.65,ROUND(W32,0),0))</f>
        <v>0</v>
      </c>
    </row>
    <row r="33" spans="1:24" x14ac:dyDescent="0.2">
      <c r="A33">
        <v>41</v>
      </c>
      <c r="B33" s="4">
        <v>2254679.66</v>
      </c>
      <c r="C33" s="9">
        <f>B33/12</f>
        <v>187889.97166666668</v>
      </c>
      <c r="D33" s="4">
        <v>142343.23000000001</v>
      </c>
      <c r="E33" s="4">
        <v>11861.935833333335</v>
      </c>
      <c r="F33" s="5">
        <v>89636</v>
      </c>
      <c r="G33" t="s">
        <v>136</v>
      </c>
      <c r="H33" t="s">
        <v>19</v>
      </c>
      <c r="I33" t="s">
        <v>143</v>
      </c>
      <c r="J33" t="s">
        <v>310</v>
      </c>
      <c r="K33" s="10">
        <f>F33/(Q33*174*12)</f>
        <v>6.2201866694424162</v>
      </c>
      <c r="L33" s="3">
        <v>25.153729082065201</v>
      </c>
      <c r="M33" s="2">
        <v>0.79336367898932503</v>
      </c>
      <c r="N33" s="1">
        <v>0.75790229885057503</v>
      </c>
      <c r="O33" s="1">
        <v>3.1175766283524902</v>
      </c>
      <c r="P33" s="1">
        <v>3.0261015325670502</v>
      </c>
      <c r="Q33" s="19">
        <v>6.9015804597701198</v>
      </c>
      <c r="R33" s="1">
        <v>1.7509578544061299</v>
      </c>
      <c r="S33" s="16">
        <f>Q33+R33</f>
        <v>8.6525383141762493</v>
      </c>
      <c r="T33" s="1">
        <v>1.0340038314176201</v>
      </c>
      <c r="U33" s="1">
        <v>6.5965184411877402</v>
      </c>
      <c r="V33" s="1">
        <v>0.30506201858237503</v>
      </c>
      <c r="W33" s="7">
        <v>0.20287191557492301</v>
      </c>
      <c r="X33" s="6">
        <f>IF(W33&lt;=-0.65,-1,IF(W33&gt;=0.65,ROUND(W33,0),0))</f>
        <v>0</v>
      </c>
    </row>
    <row r="34" spans="1:24" x14ac:dyDescent="0.2">
      <c r="A34">
        <v>42</v>
      </c>
      <c r="B34" s="4">
        <v>2367644.9</v>
      </c>
      <c r="C34" s="9">
        <f>B34/12</f>
        <v>197303.74166666667</v>
      </c>
      <c r="D34" s="4">
        <v>129892.47</v>
      </c>
      <c r="E34" s="4">
        <v>10824.372499999999</v>
      </c>
      <c r="F34" s="5">
        <v>134175</v>
      </c>
      <c r="G34" t="s">
        <v>18</v>
      </c>
      <c r="H34" t="s">
        <v>46</v>
      </c>
      <c r="I34" t="s">
        <v>47</v>
      </c>
      <c r="J34" t="s">
        <v>175</v>
      </c>
      <c r="K34" s="10">
        <f>F34/(Q34*174*12)</f>
        <v>9.9558507086146815</v>
      </c>
      <c r="L34" s="3">
        <v>17.645946711384401</v>
      </c>
      <c r="M34" s="2">
        <v>0.54839047865666002</v>
      </c>
      <c r="N34" s="1">
        <v>0.90181992337164796</v>
      </c>
      <c r="O34" s="1">
        <v>2.87954980842912</v>
      </c>
      <c r="P34" s="1">
        <v>2.67313218390805</v>
      </c>
      <c r="Q34" s="19">
        <v>6.4545019157088097</v>
      </c>
      <c r="R34" s="1">
        <v>0.82183908045977005</v>
      </c>
      <c r="S34" s="16">
        <f>Q34+R34</f>
        <v>7.2763409961685799</v>
      </c>
      <c r="T34" s="1">
        <v>0.52155172413793105</v>
      </c>
      <c r="U34" s="1">
        <v>6.4071076439762749</v>
      </c>
      <c r="V34" s="1">
        <v>4.7394271732537498E-2</v>
      </c>
      <c r="W34" s="7">
        <v>-0.14684086846702901</v>
      </c>
      <c r="X34" s="6">
        <f>IF(W34&lt;=-0.65,-1,IF(W34&gt;=0.65,ROUND(W34,0),0))</f>
        <v>0</v>
      </c>
    </row>
    <row r="35" spans="1:24" x14ac:dyDescent="0.2">
      <c r="A35">
        <v>43</v>
      </c>
      <c r="B35" s="4">
        <v>1994111.9</v>
      </c>
      <c r="C35" s="9">
        <f>B35/12</f>
        <v>166175.99166666667</v>
      </c>
      <c r="D35" s="4">
        <v>154566.53</v>
      </c>
      <c r="E35" s="4">
        <v>12880.544166666667</v>
      </c>
      <c r="F35" s="5">
        <v>139762</v>
      </c>
      <c r="G35" t="s">
        <v>18</v>
      </c>
      <c r="H35" t="s">
        <v>33</v>
      </c>
      <c r="I35" t="s">
        <v>48</v>
      </c>
      <c r="J35" t="s">
        <v>309</v>
      </c>
      <c r="K35" s="10">
        <f>F35/(Q35*174*12)</f>
        <v>9.1285065804513206</v>
      </c>
      <c r="L35" s="3">
        <v>14.2679118787653</v>
      </c>
      <c r="M35" s="2">
        <v>0.46572756022367701</v>
      </c>
      <c r="N35" s="1">
        <v>0.74952107279693503</v>
      </c>
      <c r="O35" s="1">
        <v>2.8687739463601498</v>
      </c>
      <c r="P35" s="1">
        <v>3.71431992337165</v>
      </c>
      <c r="Q35" s="19">
        <v>7.3326149425287399</v>
      </c>
      <c r="R35" s="1">
        <v>1.4789272030651299</v>
      </c>
      <c r="S35" s="16">
        <f>Q35+R35</f>
        <v>8.8115421455938705</v>
      </c>
      <c r="T35" s="1">
        <v>0.422653256704981</v>
      </c>
      <c r="U35" s="1">
        <v>6.6671559681979105</v>
      </c>
      <c r="V35" s="1">
        <v>0.66545897433082302</v>
      </c>
      <c r="W35" s="7">
        <v>0.71749931798135802</v>
      </c>
      <c r="X35" s="6">
        <f>IF(W35&lt;=-0.65,-1,IF(W35&gt;=0.65,ROUND(W35,0),0))</f>
        <v>1</v>
      </c>
    </row>
    <row r="36" spans="1:24" x14ac:dyDescent="0.2">
      <c r="A36">
        <v>45</v>
      </c>
      <c r="B36" s="4">
        <v>2060350.74</v>
      </c>
      <c r="C36" s="9">
        <f>B36/12</f>
        <v>171695.89499999999</v>
      </c>
      <c r="D36" s="4">
        <v>95159.81</v>
      </c>
      <c r="E36" s="4">
        <v>7929.9841666666662</v>
      </c>
      <c r="F36" s="5">
        <v>93136</v>
      </c>
      <c r="G36" t="s">
        <v>208</v>
      </c>
      <c r="H36" t="s">
        <v>21</v>
      </c>
      <c r="I36" t="s">
        <v>267</v>
      </c>
      <c r="J36" t="s">
        <v>316</v>
      </c>
      <c r="K36" s="10">
        <f>F36/(Q36*174*12)</f>
        <v>8.9354088216247316</v>
      </c>
      <c r="L36" s="3">
        <v>22.121958641127001</v>
      </c>
      <c r="M36" s="2">
        <v>0.67385865088193697</v>
      </c>
      <c r="N36" s="1">
        <v>0.83453065134099602</v>
      </c>
      <c r="O36" s="1">
        <v>2.5009578544061299</v>
      </c>
      <c r="P36" s="1">
        <v>1.6564894636015299</v>
      </c>
      <c r="Q36" s="19">
        <v>4.9919779693486603</v>
      </c>
      <c r="R36" s="1">
        <v>0.77430555555555503</v>
      </c>
      <c r="S36" s="16">
        <f>Q36+R36</f>
        <v>5.7662835249042157</v>
      </c>
      <c r="T36" s="1">
        <v>2.4904214559386999E-2</v>
      </c>
      <c r="U36" s="1">
        <v>6.2679368260536403</v>
      </c>
      <c r="V36" s="1">
        <v>-1.27595885670498</v>
      </c>
      <c r="W36" s="7">
        <v>-1.0897388379805699</v>
      </c>
      <c r="X36" s="6">
        <f>IF(W36&lt;=-0.65,-1,IF(W36&gt;=0.65,ROUND(W36,0),0))</f>
        <v>-1</v>
      </c>
    </row>
    <row r="37" spans="1:24" x14ac:dyDescent="0.2">
      <c r="A37">
        <v>46</v>
      </c>
      <c r="B37" s="4">
        <v>1160106.67</v>
      </c>
      <c r="C37" s="9">
        <f>B37/12</f>
        <v>96675.555833333332</v>
      </c>
      <c r="D37" s="4">
        <v>71072.31</v>
      </c>
      <c r="E37" s="4">
        <v>5922.6925000000001</v>
      </c>
      <c r="F37" s="5">
        <v>49619</v>
      </c>
      <c r="G37" t="s">
        <v>136</v>
      </c>
      <c r="H37" t="s">
        <v>35</v>
      </c>
      <c r="I37" t="s">
        <v>144</v>
      </c>
      <c r="J37" t="s">
        <v>344</v>
      </c>
      <c r="K37" s="10">
        <f>F37/(Q37*174*12)</f>
        <v>7.1984622080371379</v>
      </c>
      <c r="L37" s="3">
        <v>23.3802912190895</v>
      </c>
      <c r="M37" s="2">
        <v>0.756802587817205</v>
      </c>
      <c r="N37" s="1">
        <v>0.75431034482758597</v>
      </c>
      <c r="O37" s="1">
        <v>0.98778735632183901</v>
      </c>
      <c r="P37" s="1">
        <v>1.5591475095785401</v>
      </c>
      <c r="Q37" s="19">
        <v>3.3012452107279699</v>
      </c>
      <c r="R37" s="1">
        <v>1.1003352490421501</v>
      </c>
      <c r="S37" s="16">
        <f>Q37+R37</f>
        <v>4.4015804597701198</v>
      </c>
      <c r="T37" s="1">
        <v>5.9147509578544102E-2</v>
      </c>
      <c r="U37" s="1">
        <v>3.6515758013888902</v>
      </c>
      <c r="V37" s="1">
        <v>-0.35033059066091998</v>
      </c>
      <c r="W37" s="7">
        <v>-0.154270962504125</v>
      </c>
      <c r="X37" s="6">
        <f>IF(W37&lt;=-0.65,-1,IF(W37&gt;=0.65,ROUND(W37,0),0))</f>
        <v>0</v>
      </c>
    </row>
    <row r="38" spans="1:24" x14ac:dyDescent="0.2">
      <c r="A38">
        <v>47</v>
      </c>
      <c r="B38" s="4">
        <v>1352352.4</v>
      </c>
      <c r="C38" s="9">
        <f>B38/12</f>
        <v>112696.03333333333</v>
      </c>
      <c r="D38" s="4">
        <v>96159.61</v>
      </c>
      <c r="E38" s="4">
        <v>8013.3008333333337</v>
      </c>
      <c r="F38" s="5">
        <v>83043</v>
      </c>
      <c r="G38" t="s">
        <v>18</v>
      </c>
      <c r="H38" t="s">
        <v>49</v>
      </c>
      <c r="I38" t="s">
        <v>50</v>
      </c>
      <c r="J38" t="s">
        <v>321</v>
      </c>
      <c r="K38" s="10">
        <f>F38/(Q38*174*12)</f>
        <v>9.3353943004890141</v>
      </c>
      <c r="L38" s="3">
        <v>16.284965620220799</v>
      </c>
      <c r="M38" s="2">
        <v>0.46288747666658497</v>
      </c>
      <c r="N38" s="1">
        <v>3.8553639846743301E-2</v>
      </c>
      <c r="O38" s="1">
        <v>1.78184865900383</v>
      </c>
      <c r="P38" s="1">
        <v>2.43989463601533</v>
      </c>
      <c r="Q38" s="19">
        <v>4.2602969348658997</v>
      </c>
      <c r="R38" s="1">
        <v>1.02681992337165</v>
      </c>
      <c r="S38" s="16">
        <f>Q38+R38</f>
        <v>5.2871168582375496</v>
      </c>
      <c r="T38" s="1">
        <v>0.14272030651341</v>
      </c>
      <c r="U38" s="1">
        <v>4.2195138850888601</v>
      </c>
      <c r="V38" s="1">
        <v>4.0783049777038699E-2</v>
      </c>
      <c r="W38" s="7">
        <v>0</v>
      </c>
      <c r="X38" s="6">
        <f>IF(W38&lt;=-0.65,-1,IF(W38&gt;=0.65,ROUND(W38,0),0))</f>
        <v>0</v>
      </c>
    </row>
    <row r="39" spans="1:24" x14ac:dyDescent="0.2">
      <c r="A39">
        <v>48</v>
      </c>
      <c r="B39" s="4">
        <v>1138969.9099999999</v>
      </c>
      <c r="C39" s="9">
        <f>B39/12</f>
        <v>94914.159166666665</v>
      </c>
      <c r="D39" s="4">
        <v>90317.23</v>
      </c>
      <c r="E39" s="4">
        <v>7526.435833333333</v>
      </c>
      <c r="F39" s="5">
        <v>81440</v>
      </c>
      <c r="G39" t="s">
        <v>18</v>
      </c>
      <c r="H39" t="s">
        <v>43</v>
      </c>
      <c r="I39" t="s">
        <v>51</v>
      </c>
      <c r="J39" t="s">
        <v>322</v>
      </c>
      <c r="K39" s="10">
        <f>F39/(Q39*174*12)</f>
        <v>9.7720182385409107</v>
      </c>
      <c r="L39" s="3">
        <v>13.985386910609</v>
      </c>
      <c r="M39" s="2">
        <v>0.40365004023679601</v>
      </c>
      <c r="N39" s="1">
        <v>1.1420019157088099</v>
      </c>
      <c r="O39" s="1">
        <v>0.88074712643678199</v>
      </c>
      <c r="P39" s="1">
        <v>1.96863026819923</v>
      </c>
      <c r="Q39" s="19">
        <v>3.9913793103448301</v>
      </c>
      <c r="R39" s="1">
        <v>1.1611590038314199</v>
      </c>
      <c r="S39" s="16">
        <f>Q39+R39</f>
        <v>5.1525383141762502</v>
      </c>
      <c r="T39" s="1">
        <v>1.1056034482758601</v>
      </c>
      <c r="U39" s="1">
        <v>4.155832202110445</v>
      </c>
      <c r="V39" s="1">
        <v>-0.16445289176561501</v>
      </c>
      <c r="W39" s="7">
        <v>0</v>
      </c>
      <c r="X39" s="6">
        <f>IF(W39&lt;=-0.65,-1,IF(W39&gt;=0.65,ROUND(W39,0),0))</f>
        <v>0</v>
      </c>
    </row>
    <row r="40" spans="1:24" x14ac:dyDescent="0.2">
      <c r="A40">
        <v>49</v>
      </c>
      <c r="B40" s="4">
        <v>1120226.5900000001</v>
      </c>
      <c r="C40" s="9">
        <f>B40/12</f>
        <v>93352.215833333335</v>
      </c>
      <c r="D40" s="4">
        <v>93647.41</v>
      </c>
      <c r="E40" s="4">
        <v>7803.9508333333333</v>
      </c>
      <c r="F40" s="5">
        <v>84098</v>
      </c>
      <c r="G40" t="s">
        <v>18</v>
      </c>
      <c r="H40" t="s">
        <v>35</v>
      </c>
      <c r="I40" t="s">
        <v>52</v>
      </c>
      <c r="J40" t="s">
        <v>308</v>
      </c>
      <c r="K40" s="10">
        <f>F40/(Q40*174*12)</f>
        <v>10.354983685279805</v>
      </c>
      <c r="L40" s="3">
        <v>13.3204902613617</v>
      </c>
      <c r="M40" s="2">
        <v>0.391308074556595</v>
      </c>
      <c r="N40" s="1">
        <v>0.87571839080459801</v>
      </c>
      <c r="O40" s="1">
        <v>1.10967432950192</v>
      </c>
      <c r="P40" s="1">
        <v>1.9042145593869699</v>
      </c>
      <c r="Q40" s="19">
        <v>3.88960727969349</v>
      </c>
      <c r="R40" s="1">
        <v>0.66283524904214597</v>
      </c>
      <c r="S40" s="16">
        <f>Q40+R40</f>
        <v>4.5524425287356358</v>
      </c>
      <c r="T40" s="1">
        <v>0.43726053639846701</v>
      </c>
      <c r="U40" s="1">
        <v>4.2615696851192748</v>
      </c>
      <c r="V40" s="1">
        <v>-0.37196240542578801</v>
      </c>
      <c r="W40" s="7">
        <v>0</v>
      </c>
      <c r="X40" s="6">
        <f>IF(W40&lt;=-0.65,-1,IF(W40&gt;=0.65,ROUND(W40,0),0))</f>
        <v>0</v>
      </c>
    </row>
    <row r="41" spans="1:24" x14ac:dyDescent="0.2">
      <c r="A41">
        <v>50</v>
      </c>
      <c r="B41" s="4">
        <v>434328.33</v>
      </c>
      <c r="C41" s="9">
        <f>B41/12</f>
        <v>36194.027500000004</v>
      </c>
      <c r="D41" s="4">
        <v>44351.79</v>
      </c>
      <c r="E41" s="4">
        <v>3695.9825000000001</v>
      </c>
      <c r="F41" s="5">
        <v>25753</v>
      </c>
      <c r="G41" t="s">
        <v>270</v>
      </c>
      <c r="H41" t="s">
        <v>49</v>
      </c>
      <c r="I41" t="s">
        <v>285</v>
      </c>
      <c r="J41" t="s">
        <v>329</v>
      </c>
      <c r="K41" s="10">
        <f>F41/(Q41*174*12)</f>
        <v>6.7047643842749283</v>
      </c>
      <c r="L41" s="3">
        <v>16.8651547392537</v>
      </c>
      <c r="M41" s="2">
        <v>0.49414375065057298</v>
      </c>
      <c r="N41" s="1">
        <v>0.80842911877394696</v>
      </c>
      <c r="O41" s="1">
        <v>0.101293103448276</v>
      </c>
      <c r="P41" s="1">
        <v>0.92983716475095801</v>
      </c>
      <c r="Q41" s="19">
        <v>1.8395593869731801</v>
      </c>
      <c r="R41" s="1">
        <v>0.21096743295019199</v>
      </c>
      <c r="S41" s="16">
        <f>Q41+R41</f>
        <v>2.0505268199233719</v>
      </c>
      <c r="T41" s="1">
        <v>0.22365900383141801</v>
      </c>
      <c r="U41" s="1">
        <v>1.8290278886015301</v>
      </c>
      <c r="V41" s="1">
        <v>1.05314983716476E-2</v>
      </c>
      <c r="W41" s="7">
        <v>0</v>
      </c>
      <c r="X41" s="6">
        <f>IF(W41&lt;=-0.65,-1,IF(W41&gt;=0.65,ROUND(W41,0),0))</f>
        <v>0</v>
      </c>
    </row>
    <row r="42" spans="1:24" x14ac:dyDescent="0.2">
      <c r="A42">
        <v>51</v>
      </c>
      <c r="B42" s="4">
        <v>826292.73</v>
      </c>
      <c r="C42" s="9">
        <f>B42/12</f>
        <v>68857.727499999994</v>
      </c>
      <c r="D42" s="4">
        <v>49662.04</v>
      </c>
      <c r="E42" s="4">
        <v>4138.5033333333331</v>
      </c>
      <c r="F42" s="5">
        <v>24891</v>
      </c>
      <c r="G42" t="s">
        <v>136</v>
      </c>
      <c r="H42" t="s">
        <v>23</v>
      </c>
      <c r="I42" t="s">
        <v>145</v>
      </c>
      <c r="J42" t="s">
        <v>222</v>
      </c>
      <c r="K42" s="10">
        <f>F42/(Q42*174*12)</f>
        <v>5.2914540816326552</v>
      </c>
      <c r="L42" s="3">
        <v>33.1964457032662</v>
      </c>
      <c r="M42" s="2">
        <v>0.81873110513752201</v>
      </c>
      <c r="N42" s="1">
        <v>9.7701149425287404E-2</v>
      </c>
      <c r="O42" s="1">
        <v>2.1245210727969401</v>
      </c>
      <c r="P42" s="1">
        <v>3.0651340996168602E-2</v>
      </c>
      <c r="Q42" s="19">
        <v>2.2528735632183898</v>
      </c>
      <c r="R42" s="1">
        <v>0.40565134099616901</v>
      </c>
      <c r="S42" s="16">
        <f>Q42+R42</f>
        <v>2.6585249042145587</v>
      </c>
      <c r="T42" s="1">
        <v>5.3639846743295E-2</v>
      </c>
      <c r="U42" s="1">
        <v>1.83178567227012</v>
      </c>
      <c r="V42" s="1">
        <v>0.42108789094827598</v>
      </c>
      <c r="W42" s="7">
        <v>0.233954678361042</v>
      </c>
      <c r="X42" s="6">
        <f>IF(W42&lt;=-0.65,-1,IF(W42&gt;=0.65,ROUND(W42,0),0))</f>
        <v>0</v>
      </c>
    </row>
    <row r="43" spans="1:24" x14ac:dyDescent="0.2">
      <c r="A43">
        <v>52</v>
      </c>
      <c r="B43" s="4">
        <v>1674055.72</v>
      </c>
      <c r="C43" s="9">
        <f>B43/12</f>
        <v>139504.64333333334</v>
      </c>
      <c r="D43" s="4">
        <v>99569.29</v>
      </c>
      <c r="E43" s="4">
        <v>8297.4408333333322</v>
      </c>
      <c r="F43" s="5">
        <v>121395</v>
      </c>
      <c r="G43" t="s">
        <v>18</v>
      </c>
      <c r="H43" t="s">
        <v>35</v>
      </c>
      <c r="I43" t="s">
        <v>53</v>
      </c>
      <c r="J43" t="s">
        <v>344</v>
      </c>
      <c r="K43" s="10">
        <f>F43/(Q43*174*12)</f>
        <v>12.766997949203336</v>
      </c>
      <c r="L43" s="3">
        <v>13.7901537954611</v>
      </c>
      <c r="M43" s="2">
        <v>0.41525814325941302</v>
      </c>
      <c r="N43" s="1">
        <v>0.81633141762452099</v>
      </c>
      <c r="O43" s="1">
        <v>1.4044540229885101</v>
      </c>
      <c r="P43" s="1">
        <v>2.3330938697318002</v>
      </c>
      <c r="Q43" s="19">
        <v>4.5538793103448301</v>
      </c>
      <c r="R43" s="1">
        <v>1.3096264367816099</v>
      </c>
      <c r="S43" s="16">
        <f>Q43+R43</f>
        <v>5.8635057471264398</v>
      </c>
      <c r="T43" s="1">
        <v>0.31992337164751</v>
      </c>
      <c r="U43" s="1">
        <v>5.829209824558375</v>
      </c>
      <c r="V43" s="1">
        <v>-1.27533051421355</v>
      </c>
      <c r="W43" s="7">
        <v>-0.77927305207237296</v>
      </c>
      <c r="X43" s="6">
        <f>IF(W43&lt;=-0.65,-1,IF(W43&gt;=0.65,ROUND(W43,0),0))</f>
        <v>-1</v>
      </c>
    </row>
    <row r="44" spans="1:24" x14ac:dyDescent="0.2">
      <c r="A44">
        <v>54</v>
      </c>
      <c r="B44" s="4">
        <v>2175358.09</v>
      </c>
      <c r="C44" s="9">
        <f>B44/12</f>
        <v>181279.84083333332</v>
      </c>
      <c r="D44" s="4">
        <v>131670.07999999999</v>
      </c>
      <c r="E44" s="4">
        <v>10972.506666666666</v>
      </c>
      <c r="F44" s="5">
        <v>137029</v>
      </c>
      <c r="G44" t="s">
        <v>18</v>
      </c>
      <c r="H44" t="s">
        <v>54</v>
      </c>
      <c r="I44" t="s">
        <v>55</v>
      </c>
      <c r="J44" t="s">
        <v>323</v>
      </c>
      <c r="K44" s="10">
        <f>F44/(Q44*174*12)</f>
        <v>10.907998169117795</v>
      </c>
      <c r="L44" s="3">
        <v>15.8751657678302</v>
      </c>
      <c r="M44" s="2">
        <v>0.47098487127698602</v>
      </c>
      <c r="N44" s="1">
        <v>0.87380268199233702</v>
      </c>
      <c r="O44" s="1">
        <v>1.82782567049808</v>
      </c>
      <c r="P44" s="1">
        <v>3.31477490421456</v>
      </c>
      <c r="Q44" s="19">
        <v>6.0164032567049803</v>
      </c>
      <c r="R44" s="1">
        <v>1.05938697318008</v>
      </c>
      <c r="S44" s="16">
        <f>Q44+R44</f>
        <v>7.0757902298850599</v>
      </c>
      <c r="T44" s="1">
        <v>7.8065134099616906E-2</v>
      </c>
      <c r="U44" s="1">
        <v>6.5393640308244496</v>
      </c>
      <c r="V44" s="1">
        <v>-0.52296077411947195</v>
      </c>
      <c r="W44" s="7">
        <v>-0.45629562047014</v>
      </c>
      <c r="X44" s="6">
        <f>IF(W44&lt;=-0.65,-1,IF(W44&gt;=0.65,ROUND(W44,0),0))</f>
        <v>0</v>
      </c>
    </row>
    <row r="45" spans="1:24" x14ac:dyDescent="0.2">
      <c r="A45">
        <v>55</v>
      </c>
      <c r="B45" s="4">
        <v>1442169.48</v>
      </c>
      <c r="C45" s="9">
        <f>B45/12</f>
        <v>120180.79</v>
      </c>
      <c r="D45" s="4">
        <v>100976.03</v>
      </c>
      <c r="E45" s="4">
        <v>8414.6691666666666</v>
      </c>
      <c r="F45" s="5">
        <v>84490</v>
      </c>
      <c r="G45" t="s">
        <v>18</v>
      </c>
      <c r="H45" t="s">
        <v>31</v>
      </c>
      <c r="I45" t="s">
        <v>56</v>
      </c>
      <c r="J45" t="s">
        <v>175</v>
      </c>
      <c r="K45" s="10">
        <f>F45/(Q45*174*12)</f>
        <v>9.4396961063627796</v>
      </c>
      <c r="L45" s="3">
        <v>17.0691144514144</v>
      </c>
      <c r="M45" s="2">
        <v>0.45648348486753398</v>
      </c>
      <c r="N45" s="1">
        <v>0.91618773946360199</v>
      </c>
      <c r="O45" s="1">
        <v>1.6137452107279699</v>
      </c>
      <c r="P45" s="1">
        <v>1.75670498084291</v>
      </c>
      <c r="Q45" s="19">
        <v>4.2866379310344804</v>
      </c>
      <c r="R45" s="1">
        <v>0.89176245210728</v>
      </c>
      <c r="S45" s="16">
        <f>Q45+R45</f>
        <v>5.17840038314176</v>
      </c>
      <c r="T45" s="1">
        <v>0.14487547892720301</v>
      </c>
      <c r="U45" s="1">
        <v>4.2772254950405397</v>
      </c>
      <c r="V45" s="1">
        <v>9.4124359939424806E-3</v>
      </c>
      <c r="W45" s="7">
        <v>-0.107411644793795</v>
      </c>
      <c r="X45" s="6">
        <f>IF(W45&lt;=-0.65,-1,IF(W45&gt;=0.65,ROUND(W45,0),0))</f>
        <v>0</v>
      </c>
    </row>
    <row r="46" spans="1:24" x14ac:dyDescent="0.2">
      <c r="A46">
        <v>56</v>
      </c>
      <c r="B46" s="4">
        <v>1640048.73</v>
      </c>
      <c r="C46" s="9">
        <f>B46/12</f>
        <v>136670.72750000001</v>
      </c>
      <c r="D46" s="4">
        <v>110292.59</v>
      </c>
      <c r="E46" s="4">
        <v>9191.0491666666658</v>
      </c>
      <c r="F46" s="5">
        <v>100385</v>
      </c>
      <c r="G46" t="s">
        <v>18</v>
      </c>
      <c r="H46" t="s">
        <v>33</v>
      </c>
      <c r="I46" t="s">
        <v>57</v>
      </c>
      <c r="J46" t="s">
        <v>206</v>
      </c>
      <c r="K46" s="10">
        <f>F46/(Q46*174*12)</f>
        <v>10.220423538994087</v>
      </c>
      <c r="L46" s="3">
        <v>16.337587587786999</v>
      </c>
      <c r="M46" s="2">
        <v>0.53986922693449502</v>
      </c>
      <c r="N46" s="1">
        <v>0.78591954022988497</v>
      </c>
      <c r="O46" s="1">
        <v>2.5653735632183898</v>
      </c>
      <c r="P46" s="1">
        <v>1.35272988505747</v>
      </c>
      <c r="Q46" s="19">
        <v>4.7040229885057503</v>
      </c>
      <c r="R46" s="1">
        <v>0.50574712643678199</v>
      </c>
      <c r="S46" s="16">
        <f>Q46+R46</f>
        <v>5.2097701149425326</v>
      </c>
      <c r="T46" s="1">
        <v>0.41427203065134099</v>
      </c>
      <c r="U46" s="1">
        <v>4.9260105227950906</v>
      </c>
      <c r="V46" s="1">
        <v>-0.22198753428934401</v>
      </c>
      <c r="W46" s="7">
        <v>-0.231229421141466</v>
      </c>
      <c r="X46" s="6">
        <f>IF(W46&lt;=-0.65,-1,IF(W46&gt;=0.65,ROUND(W46,0),0))</f>
        <v>0</v>
      </c>
    </row>
    <row r="47" spans="1:24" x14ac:dyDescent="0.2">
      <c r="A47">
        <v>57</v>
      </c>
      <c r="B47" s="4">
        <v>452842.38</v>
      </c>
      <c r="C47" s="9">
        <f>B47/12</f>
        <v>37736.864999999998</v>
      </c>
      <c r="D47" s="4">
        <v>30789.1</v>
      </c>
      <c r="E47" s="4">
        <v>2565.7583333333332</v>
      </c>
      <c r="F47" s="5">
        <v>17022</v>
      </c>
      <c r="G47" t="s">
        <v>270</v>
      </c>
      <c r="H47" t="s">
        <v>49</v>
      </c>
      <c r="I47" t="s">
        <v>291</v>
      </c>
      <c r="J47" t="s">
        <v>291</v>
      </c>
      <c r="K47" s="10">
        <f>F47/(Q47*174*12)</f>
        <v>8.521652065081355</v>
      </c>
      <c r="L47" s="3">
        <v>26.603359182234801</v>
      </c>
      <c r="M47" s="2">
        <v>0.73025815295820995</v>
      </c>
      <c r="N47" s="1">
        <v>0.94899425287356298</v>
      </c>
      <c r="O47" s="1">
        <v>7.6628352490421504E-3</v>
      </c>
      <c r="P47" s="1">
        <v>0</v>
      </c>
      <c r="Q47" s="19">
        <v>0.95665708812260497</v>
      </c>
      <c r="R47" s="1">
        <v>8.6206896551724102E-2</v>
      </c>
      <c r="S47" s="16">
        <f>Q47+R47</f>
        <v>1.0428639846743291</v>
      </c>
      <c r="T47" s="1">
        <v>8.1178160919540193E-2</v>
      </c>
      <c r="U47" s="1">
        <v>1.2089353752873599</v>
      </c>
      <c r="V47" s="1">
        <v>-0.25227828716475098</v>
      </c>
      <c r="W47" s="7">
        <v>-1.21875178567278E-2</v>
      </c>
      <c r="X47" s="6">
        <f>IF(W47&lt;=-0.65,-1,IF(W47&gt;=0.65,ROUND(W47,0),0))</f>
        <v>0</v>
      </c>
    </row>
    <row r="48" spans="1:24" x14ac:dyDescent="0.2">
      <c r="A48">
        <v>58</v>
      </c>
      <c r="B48" s="4">
        <v>657283.77</v>
      </c>
      <c r="C48" s="9">
        <f>B48/12</f>
        <v>54773.647499999999</v>
      </c>
      <c r="D48" s="4">
        <v>44968.44</v>
      </c>
      <c r="E48" s="4">
        <v>3747.3700000000003</v>
      </c>
      <c r="F48" s="5">
        <v>31307</v>
      </c>
      <c r="G48" t="s">
        <v>136</v>
      </c>
      <c r="H48" t="s">
        <v>25</v>
      </c>
      <c r="I48" t="s">
        <v>146</v>
      </c>
      <c r="J48" t="s">
        <v>352</v>
      </c>
      <c r="K48" s="10">
        <f>F48/(Q48*174*12)</f>
        <v>7.5311522732740057</v>
      </c>
      <c r="L48" s="3">
        <v>20.9947861500623</v>
      </c>
      <c r="M48" s="2">
        <v>0.77205011467117202</v>
      </c>
      <c r="N48" s="1">
        <v>0.75239463601532597</v>
      </c>
      <c r="O48" s="1">
        <v>0.50670498084291204</v>
      </c>
      <c r="P48" s="1">
        <v>0.73180076628352497</v>
      </c>
      <c r="Q48" s="19">
        <v>1.99090038314176</v>
      </c>
      <c r="R48" s="1">
        <v>0.390804597701149</v>
      </c>
      <c r="S48" s="16">
        <f>Q48+R48</f>
        <v>2.3817049808429092</v>
      </c>
      <c r="T48" s="1">
        <v>0.105124521072797</v>
      </c>
      <c r="U48" s="1">
        <v>2.3039538002394599</v>
      </c>
      <c r="V48" s="1">
        <v>-0.31305341709770101</v>
      </c>
      <c r="W48" s="7">
        <v>-8.2015126174177694E-2</v>
      </c>
      <c r="X48" s="6">
        <f>IF(W48&lt;=-0.65,-1,IF(W48&gt;=0.65,ROUND(W48,0),0))</f>
        <v>0</v>
      </c>
    </row>
    <row r="49" spans="1:24" x14ac:dyDescent="0.2">
      <c r="A49">
        <v>59</v>
      </c>
      <c r="B49" s="4">
        <v>723392.4</v>
      </c>
      <c r="C49" s="9">
        <f>B49/12</f>
        <v>60282.700000000004</v>
      </c>
      <c r="D49" s="4">
        <v>61741.54</v>
      </c>
      <c r="E49" s="4">
        <v>5145.1283333333331</v>
      </c>
      <c r="F49" s="5">
        <v>45000</v>
      </c>
      <c r="G49" t="s">
        <v>270</v>
      </c>
      <c r="H49" t="s">
        <v>19</v>
      </c>
      <c r="I49" t="s">
        <v>289</v>
      </c>
      <c r="J49" t="s">
        <v>334</v>
      </c>
      <c r="K49" s="10">
        <f>F49/(Q49*174*12)</f>
        <v>7.1253265774681438</v>
      </c>
      <c r="L49" s="3">
        <v>16.075386666666699</v>
      </c>
      <c r="M49" s="2">
        <v>0.61360090318891902</v>
      </c>
      <c r="N49" s="1">
        <v>0.68295019157088099</v>
      </c>
      <c r="O49" s="1">
        <v>0.80483716475095801</v>
      </c>
      <c r="P49" s="1">
        <v>1.5368773946360199</v>
      </c>
      <c r="Q49" s="19">
        <v>3.0246647509578501</v>
      </c>
      <c r="R49" s="1">
        <v>0.64942528735632199</v>
      </c>
      <c r="S49" s="16">
        <f>Q49+R49</f>
        <v>3.6740900383141719</v>
      </c>
      <c r="T49" s="1">
        <v>2.3467432950191599E-2</v>
      </c>
      <c r="U49" s="1">
        <v>3.1959870689655201</v>
      </c>
      <c r="V49" s="1">
        <v>-0.17132231800766301</v>
      </c>
      <c r="W49" s="7">
        <v>0</v>
      </c>
      <c r="X49" s="6">
        <f>IF(W49&lt;=-0.65,-1,IF(W49&gt;=0.65,ROUND(W49,0),0))</f>
        <v>0</v>
      </c>
    </row>
    <row r="50" spans="1:24" x14ac:dyDescent="0.2">
      <c r="A50">
        <v>61</v>
      </c>
      <c r="B50" s="4">
        <v>2275797.1</v>
      </c>
      <c r="C50" s="9">
        <f>B50/12</f>
        <v>189649.75833333333</v>
      </c>
      <c r="D50" s="4">
        <v>127952.19</v>
      </c>
      <c r="E50" s="4">
        <v>10662.682500000001</v>
      </c>
      <c r="F50" s="5">
        <v>142402</v>
      </c>
      <c r="G50" t="s">
        <v>18</v>
      </c>
      <c r="H50" t="s">
        <v>35</v>
      </c>
      <c r="I50" t="s">
        <v>58</v>
      </c>
      <c r="J50" t="s">
        <v>345</v>
      </c>
      <c r="K50" s="10">
        <f>F50/(Q50*174*12)</f>
        <v>11.895580987386182</v>
      </c>
      <c r="L50" s="3">
        <v>15.981496748641201</v>
      </c>
      <c r="M50" s="2">
        <v>0.47405492783165998</v>
      </c>
      <c r="N50" s="1">
        <v>0.83668582375478895</v>
      </c>
      <c r="O50" s="1">
        <v>2.5517241379310298</v>
      </c>
      <c r="P50" s="1">
        <v>2.3448275862068999</v>
      </c>
      <c r="Q50" s="19">
        <v>5.7332375478927204</v>
      </c>
      <c r="R50" s="1">
        <v>0.96863026819923403</v>
      </c>
      <c r="S50" s="16">
        <f>Q50+R50</f>
        <v>6.7018678160919549</v>
      </c>
      <c r="T50" s="1">
        <v>3.6637931034482797E-2</v>
      </c>
      <c r="U50" s="1">
        <v>6.7916812851608555</v>
      </c>
      <c r="V50" s="1">
        <v>-1.0584437372681299</v>
      </c>
      <c r="W50" s="7">
        <v>-1.0098747692758101</v>
      </c>
      <c r="X50" s="6">
        <f>IF(W50&lt;=-0.65,-1,IF(W50&gt;=0.65,ROUND(W50,0),0))</f>
        <v>-1</v>
      </c>
    </row>
    <row r="51" spans="1:24" x14ac:dyDescent="0.2">
      <c r="A51">
        <v>62</v>
      </c>
      <c r="B51" s="4">
        <v>1116372.77</v>
      </c>
      <c r="C51" s="9">
        <f>B51/12</f>
        <v>93031.064166666663</v>
      </c>
      <c r="D51" s="4">
        <v>82399.320000000007</v>
      </c>
      <c r="E51" s="4">
        <v>6866.6100000000006</v>
      </c>
      <c r="F51" s="5">
        <v>75622</v>
      </c>
      <c r="G51" t="s">
        <v>18</v>
      </c>
      <c r="H51" t="s">
        <v>40</v>
      </c>
      <c r="I51" t="s">
        <v>59</v>
      </c>
      <c r="J51" t="s">
        <v>324</v>
      </c>
      <c r="K51" s="10">
        <f>F51/(Q51*174*12)</f>
        <v>9.4262387036459909</v>
      </c>
      <c r="L51" s="3">
        <v>14.762539604876901</v>
      </c>
      <c r="M51" s="2">
        <v>0.41859357605076702</v>
      </c>
      <c r="N51" s="1">
        <v>0.97581417624521105</v>
      </c>
      <c r="O51" s="1">
        <v>0.97198275862068995</v>
      </c>
      <c r="P51" s="1">
        <v>1.8943965517241399</v>
      </c>
      <c r="Q51" s="19">
        <v>3.8421934865900398</v>
      </c>
      <c r="R51" s="1">
        <v>0.47509578544061298</v>
      </c>
      <c r="S51" s="16">
        <f>Q51+R51</f>
        <v>4.3172892720306528</v>
      </c>
      <c r="T51" s="1">
        <v>0.21192528735632199</v>
      </c>
      <c r="U51" s="1">
        <v>3.9268814929678095</v>
      </c>
      <c r="V51" s="1">
        <v>-8.46880063777702E-2</v>
      </c>
      <c r="W51" s="7">
        <v>0</v>
      </c>
      <c r="X51" s="6">
        <f>IF(W51&lt;=-0.65,-1,IF(W51&gt;=0.65,ROUND(W51,0),0))</f>
        <v>0</v>
      </c>
    </row>
    <row r="52" spans="1:24" x14ac:dyDescent="0.2">
      <c r="A52">
        <v>63</v>
      </c>
      <c r="B52" s="4">
        <v>985307.69</v>
      </c>
      <c r="C52" s="9">
        <f>B52/12</f>
        <v>82108.974166666667</v>
      </c>
      <c r="D52" s="4">
        <v>85202.51</v>
      </c>
      <c r="E52" s="4">
        <v>7100.2091666666665</v>
      </c>
      <c r="F52" s="5">
        <v>75345</v>
      </c>
      <c r="G52" t="s">
        <v>18</v>
      </c>
      <c r="H52" t="s">
        <v>27</v>
      </c>
      <c r="I52" t="s">
        <v>60</v>
      </c>
      <c r="J52" t="s">
        <v>325</v>
      </c>
      <c r="K52" s="10">
        <f>F52/(Q52*174*12)</f>
        <v>9.3671908994840454</v>
      </c>
      <c r="L52" s="3">
        <v>13.0772803769328</v>
      </c>
      <c r="M52" s="2">
        <v>0.48590114018089098</v>
      </c>
      <c r="N52" s="1">
        <v>0.96958812260536398</v>
      </c>
      <c r="O52" s="1">
        <v>0.99185823754789304</v>
      </c>
      <c r="P52" s="1">
        <v>1.8908045977011501</v>
      </c>
      <c r="Q52" s="19">
        <v>3.8522509578544102</v>
      </c>
      <c r="R52" s="1">
        <v>0.73180076628352497</v>
      </c>
      <c r="S52" s="16">
        <f>Q52+R52</f>
        <v>4.584051724137935</v>
      </c>
      <c r="T52" s="1">
        <v>0.64128352490421503</v>
      </c>
      <c r="U52" s="1">
        <v>3.9160646361641049</v>
      </c>
      <c r="V52" s="1">
        <v>-6.3813678309701E-2</v>
      </c>
      <c r="W52" s="7">
        <v>0.14560185650055599</v>
      </c>
      <c r="X52" s="6">
        <f>IF(W52&lt;=-0.65,-1,IF(W52&gt;=0.65,ROUND(W52,0),0))</f>
        <v>0</v>
      </c>
    </row>
    <row r="53" spans="1:24" x14ac:dyDescent="0.2">
      <c r="A53">
        <v>64</v>
      </c>
      <c r="B53" s="4">
        <v>1560579.38</v>
      </c>
      <c r="C53" s="9">
        <f>B53/12</f>
        <v>130048.28166666666</v>
      </c>
      <c r="D53" s="4">
        <v>98541.48</v>
      </c>
      <c r="E53" s="4">
        <v>8211.7899999999991</v>
      </c>
      <c r="F53" s="5">
        <v>104091</v>
      </c>
      <c r="G53" t="s">
        <v>18</v>
      </c>
      <c r="H53" t="s">
        <v>61</v>
      </c>
      <c r="I53" t="s">
        <v>62</v>
      </c>
      <c r="J53" t="s">
        <v>340</v>
      </c>
      <c r="K53" s="10">
        <f>F53/(Q53*174*12)</f>
        <v>12.795451751690216</v>
      </c>
      <c r="L53" s="3">
        <v>14.9924525655436</v>
      </c>
      <c r="M53" s="2">
        <v>0.48814069297775797</v>
      </c>
      <c r="N53" s="1">
        <v>8.6446360153256699E-2</v>
      </c>
      <c r="O53" s="1">
        <v>1.8874521072796899</v>
      </c>
      <c r="P53" s="1">
        <v>1.92217432950192</v>
      </c>
      <c r="Q53" s="19">
        <v>3.8960727969348699</v>
      </c>
      <c r="R53" s="1">
        <v>1.55723180076628</v>
      </c>
      <c r="S53" s="16">
        <f>Q53+R53</f>
        <v>5.4533045977011501</v>
      </c>
      <c r="T53" s="1">
        <v>0.15876436781609199</v>
      </c>
      <c r="U53" s="1">
        <v>5.0813822202623751</v>
      </c>
      <c r="V53" s="1">
        <v>-1.1853094233275101</v>
      </c>
      <c r="W53" s="7">
        <v>-0.952599176829655</v>
      </c>
      <c r="X53" s="6">
        <f>IF(W53&lt;=-0.65,-1,IF(W53&gt;=0.65,ROUND(W53,0),0))</f>
        <v>-1</v>
      </c>
    </row>
    <row r="54" spans="1:24" x14ac:dyDescent="0.2">
      <c r="A54">
        <v>65</v>
      </c>
      <c r="B54" s="4">
        <v>875194.85</v>
      </c>
      <c r="C54" s="9">
        <f>B54/12</f>
        <v>72932.90416666666</v>
      </c>
      <c r="D54" s="4">
        <v>58000.55</v>
      </c>
      <c r="E54" s="4">
        <v>4833.3791666666666</v>
      </c>
      <c r="F54" s="5">
        <v>48240</v>
      </c>
      <c r="G54" t="s">
        <v>18</v>
      </c>
      <c r="H54" t="s">
        <v>35</v>
      </c>
      <c r="I54" t="s">
        <v>63</v>
      </c>
      <c r="J54" t="s">
        <v>308</v>
      </c>
      <c r="K54" s="10">
        <f>F54/(Q54*174*12)</f>
        <v>9.6191425722831401</v>
      </c>
      <c r="L54" s="3">
        <v>18.1425134742952</v>
      </c>
      <c r="M54" s="2">
        <v>0.58872477368896803</v>
      </c>
      <c r="N54" s="1">
        <v>0.87045019157088099</v>
      </c>
      <c r="O54" s="1">
        <v>0.76221264367816099</v>
      </c>
      <c r="P54" s="1">
        <v>0.76915708812260497</v>
      </c>
      <c r="Q54" s="19">
        <v>2.40181992337165</v>
      </c>
      <c r="R54" s="1">
        <v>0.36590038314176199</v>
      </c>
      <c r="S54" s="16">
        <f>Q54+R54</f>
        <v>2.7677203065134117</v>
      </c>
      <c r="T54" s="1">
        <v>0.84195402298850597</v>
      </c>
      <c r="U54" s="1">
        <v>2.8917199564380649</v>
      </c>
      <c r="V54" s="1">
        <v>-0.489900033066417</v>
      </c>
      <c r="W54" s="7">
        <v>-0.74746270894901801</v>
      </c>
      <c r="X54" s="6">
        <f>IF(W54&lt;=-0.65,-1,IF(W54&gt;=0.65,ROUND(W54,0),0))</f>
        <v>-1</v>
      </c>
    </row>
    <row r="55" spans="1:24" x14ac:dyDescent="0.2">
      <c r="A55">
        <v>66</v>
      </c>
      <c r="B55" s="4">
        <v>894251.73</v>
      </c>
      <c r="C55" s="9">
        <f>B55/12</f>
        <v>74520.977499999994</v>
      </c>
      <c r="D55" s="4">
        <v>100256.45</v>
      </c>
      <c r="E55" s="4">
        <v>8354.7041666666664</v>
      </c>
      <c r="F55" s="5">
        <v>65931</v>
      </c>
      <c r="G55" t="s">
        <v>18</v>
      </c>
      <c r="H55" t="s">
        <v>19</v>
      </c>
      <c r="I55" t="s">
        <v>64</v>
      </c>
      <c r="J55" t="s">
        <v>310</v>
      </c>
      <c r="K55" s="10">
        <f>F55/(Q55*174*12)</f>
        <v>8.0674212297338599</v>
      </c>
      <c r="L55" s="3">
        <v>13.563448605360101</v>
      </c>
      <c r="M55" s="2">
        <v>0.41002568706241099</v>
      </c>
      <c r="N55" s="1">
        <v>0.837643678160919</v>
      </c>
      <c r="O55" s="1">
        <v>1.00167624521073</v>
      </c>
      <c r="P55" s="1">
        <v>2.07471264367816</v>
      </c>
      <c r="Q55" s="19">
        <v>3.91403256704981</v>
      </c>
      <c r="R55" s="1">
        <v>0.73275862068965503</v>
      </c>
      <c r="S55" s="16">
        <f>Q55+R55</f>
        <v>4.6467911877394652</v>
      </c>
      <c r="T55" s="1">
        <v>0.18175287356321801</v>
      </c>
      <c r="U55" s="1">
        <v>3.5528110534997497</v>
      </c>
      <c r="V55" s="1">
        <v>0.36122151355006099</v>
      </c>
      <c r="W55" s="7">
        <v>0.50859489806101399</v>
      </c>
      <c r="X55" s="6">
        <f>IF(W55&lt;=-0.65,-1,IF(W55&gt;=0.65,ROUND(W55,0),0))</f>
        <v>0</v>
      </c>
    </row>
    <row r="56" spans="1:24" x14ac:dyDescent="0.2">
      <c r="A56">
        <v>67</v>
      </c>
      <c r="B56" s="4">
        <v>2247429.14</v>
      </c>
      <c r="C56" s="9">
        <f>B56/12</f>
        <v>187285.76166666669</v>
      </c>
      <c r="D56" s="4">
        <v>136599.97</v>
      </c>
      <c r="E56" s="4">
        <v>11383.330833333333</v>
      </c>
      <c r="F56" s="5">
        <v>159593</v>
      </c>
      <c r="G56" t="s">
        <v>18</v>
      </c>
      <c r="H56" t="s">
        <v>27</v>
      </c>
      <c r="I56" t="s">
        <v>65</v>
      </c>
      <c r="J56" t="s">
        <v>326</v>
      </c>
      <c r="K56" s="10">
        <f>F56/(Q56*174*12)</f>
        <v>11.355699444997875</v>
      </c>
      <c r="L56" s="3">
        <v>14.082253858251899</v>
      </c>
      <c r="M56" s="2">
        <v>0.48529213695253598</v>
      </c>
      <c r="N56" s="1">
        <v>0.84315134099616895</v>
      </c>
      <c r="O56" s="1">
        <v>3.4149904214559399</v>
      </c>
      <c r="P56" s="1">
        <v>2.4727011494252902</v>
      </c>
      <c r="Q56" s="19">
        <v>6.7308429118773896</v>
      </c>
      <c r="R56" s="1">
        <v>1.6314655172413799</v>
      </c>
      <c r="S56" s="16">
        <f>Q56+R56</f>
        <v>8.3623084291187695</v>
      </c>
      <c r="T56" s="1">
        <v>8.04597701149425E-2</v>
      </c>
      <c r="U56" s="1">
        <v>7.6299635761470901</v>
      </c>
      <c r="V56" s="1">
        <v>-0.89912066426969495</v>
      </c>
      <c r="W56" s="7">
        <v>-0.46984525974961</v>
      </c>
      <c r="X56" s="6">
        <f>IF(W56&lt;=-0.65,-1,IF(W56&gt;=0.65,ROUND(W56,0),0))</f>
        <v>0</v>
      </c>
    </row>
    <row r="57" spans="1:24" x14ac:dyDescent="0.2">
      <c r="A57">
        <v>68</v>
      </c>
      <c r="B57" s="4">
        <v>639134.19999999995</v>
      </c>
      <c r="C57" s="9">
        <f>B57/12</f>
        <v>53261.183333333327</v>
      </c>
      <c r="D57" s="4">
        <v>46372</v>
      </c>
      <c r="E57" s="4">
        <v>3864.3333333333335</v>
      </c>
      <c r="F57" s="5">
        <v>37496</v>
      </c>
      <c r="G57" t="s">
        <v>270</v>
      </c>
      <c r="H57" t="s">
        <v>37</v>
      </c>
      <c r="I57" t="s">
        <v>304</v>
      </c>
      <c r="J57" t="s">
        <v>336</v>
      </c>
      <c r="K57" s="10">
        <f>F57/(Q57*174*12)</f>
        <v>9.4448362720403143</v>
      </c>
      <c r="L57" s="3">
        <v>17.045396842329801</v>
      </c>
      <c r="M57" s="2">
        <v>0.56445710462685295</v>
      </c>
      <c r="N57" s="1">
        <v>0.83931992337164796</v>
      </c>
      <c r="O57" s="1">
        <v>0.115181992337165</v>
      </c>
      <c r="P57" s="1">
        <v>0.94683908045977005</v>
      </c>
      <c r="Q57" s="19">
        <v>1.9013409961685801</v>
      </c>
      <c r="R57" s="1">
        <v>0.22796934865900401</v>
      </c>
      <c r="S57" s="16">
        <f>Q57+R57</f>
        <v>2.1293103448275841</v>
      </c>
      <c r="T57" s="1">
        <v>0.25239463601532602</v>
      </c>
      <c r="U57" s="1">
        <v>2.6630384697317999</v>
      </c>
      <c r="V57" s="1">
        <v>-0.76169747356321804</v>
      </c>
      <c r="W57" s="7">
        <v>-0.52618680721061695</v>
      </c>
      <c r="X57" s="6">
        <f>IF(W57&lt;=-0.65,-1,IF(W57&gt;=0.65,ROUND(W57,0),0))</f>
        <v>0</v>
      </c>
    </row>
    <row r="58" spans="1:24" x14ac:dyDescent="0.2">
      <c r="A58">
        <v>69</v>
      </c>
      <c r="B58" s="4">
        <v>1230303.6000000001</v>
      </c>
      <c r="C58" s="9">
        <f>B58/12</f>
        <v>102525.3</v>
      </c>
      <c r="D58" s="4">
        <v>84138.18</v>
      </c>
      <c r="E58" s="4">
        <v>7011.5149999999994</v>
      </c>
      <c r="F58" s="5">
        <v>76828</v>
      </c>
      <c r="G58" t="s">
        <v>18</v>
      </c>
      <c r="H58" t="s">
        <v>21</v>
      </c>
      <c r="I58" t="s">
        <v>66</v>
      </c>
      <c r="J58" t="s">
        <v>316</v>
      </c>
      <c r="K58" s="10">
        <f>F58/(Q58*174*12)</f>
        <v>8.3016910692095802</v>
      </c>
      <c r="L58" s="3">
        <v>16.013739782371001</v>
      </c>
      <c r="M58" s="2">
        <v>0.51448280733308405</v>
      </c>
      <c r="N58" s="1">
        <v>0.84219348659003801</v>
      </c>
      <c r="O58" s="1">
        <v>1.78280651340996</v>
      </c>
      <c r="P58" s="1">
        <v>1.80723180076628</v>
      </c>
      <c r="Q58" s="19">
        <v>4.4322318007662798</v>
      </c>
      <c r="R58" s="1">
        <v>0.65708812260536398</v>
      </c>
      <c r="S58" s="16">
        <f>Q58+R58</f>
        <v>5.0893199233716437</v>
      </c>
      <c r="T58" s="1">
        <v>0.25407088122605398</v>
      </c>
      <c r="U58" s="1">
        <v>3.9740635298512155</v>
      </c>
      <c r="V58" s="1">
        <v>0.45816827091506801</v>
      </c>
      <c r="W58" s="7">
        <v>0.21904308561367</v>
      </c>
      <c r="X58" s="6">
        <f>IF(W58&lt;=-0.65,-1,IF(W58&gt;=0.65,ROUND(W58,0),0))</f>
        <v>0</v>
      </c>
    </row>
    <row r="59" spans="1:24" x14ac:dyDescent="0.2">
      <c r="A59">
        <v>70</v>
      </c>
      <c r="B59" s="4">
        <v>1398074.12</v>
      </c>
      <c r="C59" s="9">
        <f>B59/12</f>
        <v>116506.17666666668</v>
      </c>
      <c r="D59" s="4">
        <v>107677.55</v>
      </c>
      <c r="E59" s="4">
        <v>8973.1291666666675</v>
      </c>
      <c r="F59" s="5">
        <v>93110</v>
      </c>
      <c r="G59" t="s">
        <v>18</v>
      </c>
      <c r="H59" t="s">
        <v>40</v>
      </c>
      <c r="I59" t="s">
        <v>67</v>
      </c>
      <c r="J59" t="s">
        <v>311</v>
      </c>
      <c r="K59" s="10">
        <f>F59/(Q59*174*12)</f>
        <v>8.5148605395519006</v>
      </c>
      <c r="L59" s="3">
        <v>15.015295027386999</v>
      </c>
      <c r="M59" s="2">
        <v>0.48317486915500601</v>
      </c>
      <c r="N59" s="1">
        <v>0.87787356321839105</v>
      </c>
      <c r="O59" s="1">
        <v>1.6530172413793101</v>
      </c>
      <c r="P59" s="1">
        <v>2.7061781609195399</v>
      </c>
      <c r="Q59" s="19">
        <v>5.2370689655172402</v>
      </c>
      <c r="R59" s="1">
        <v>0.73156130268199204</v>
      </c>
      <c r="S59" s="16">
        <f>Q59+R59</f>
        <v>5.9686302681992327</v>
      </c>
      <c r="T59" s="1">
        <v>2.2509578544061298E-2</v>
      </c>
      <c r="U59" s="1">
        <v>4.6256135763884654</v>
      </c>
      <c r="V59" s="1">
        <v>0.61145538912877295</v>
      </c>
      <c r="W59" s="7">
        <v>0.55092888171251997</v>
      </c>
      <c r="X59" s="6">
        <f>IF(W59&lt;=-0.65,-1,IF(W59&gt;=0.65,ROUND(W59,0),0))</f>
        <v>0</v>
      </c>
    </row>
    <row r="60" spans="1:24" x14ac:dyDescent="0.2">
      <c r="A60">
        <v>71</v>
      </c>
      <c r="B60" s="4">
        <v>2664251.65</v>
      </c>
      <c r="C60" s="9">
        <f>B60/12</f>
        <v>222020.97083333333</v>
      </c>
      <c r="D60" s="4">
        <v>150879.12</v>
      </c>
      <c r="E60" s="4">
        <v>12573.26</v>
      </c>
      <c r="F60" s="5">
        <v>158141</v>
      </c>
      <c r="G60" t="s">
        <v>18</v>
      </c>
      <c r="H60" t="s">
        <v>23</v>
      </c>
      <c r="I60" t="s">
        <v>68</v>
      </c>
      <c r="J60" t="s">
        <v>316</v>
      </c>
      <c r="K60" s="10">
        <f>F60/(Q60*174*12)</f>
        <v>10.364464543190453</v>
      </c>
      <c r="L60" s="3">
        <v>16.847317583675299</v>
      </c>
      <c r="M60" s="2">
        <v>0.560178356275016</v>
      </c>
      <c r="N60" s="1">
        <v>0.86446360153256696</v>
      </c>
      <c r="O60" s="1">
        <v>3.8979885057471302</v>
      </c>
      <c r="P60" s="1">
        <v>2.5450191570881202</v>
      </c>
      <c r="Q60" s="19">
        <v>7.3074712643678197</v>
      </c>
      <c r="R60" s="1">
        <v>0.96455938697318</v>
      </c>
      <c r="S60" s="16">
        <f>Q60+R60</f>
        <v>8.2720306513409998</v>
      </c>
      <c r="T60" s="1">
        <v>2.7777777777777801E-2</v>
      </c>
      <c r="U60" s="1">
        <v>7.5572433977114049</v>
      </c>
      <c r="V60" s="1">
        <v>-0.249772133343589</v>
      </c>
      <c r="W60" s="7">
        <v>-0.33530711492584703</v>
      </c>
      <c r="X60" s="6">
        <f>IF(W60&lt;=-0.65,-1,IF(W60&gt;=0.65,ROUND(W60,0),0))</f>
        <v>0</v>
      </c>
    </row>
    <row r="61" spans="1:24" x14ac:dyDescent="0.2">
      <c r="A61">
        <v>72</v>
      </c>
      <c r="B61" s="4">
        <v>2342660.8199999998</v>
      </c>
      <c r="C61" s="9">
        <f>B61/12</f>
        <v>195221.73499999999</v>
      </c>
      <c r="D61" s="4">
        <v>127639.3</v>
      </c>
      <c r="E61" s="4">
        <v>10636.608333333334</v>
      </c>
      <c r="F61" s="5">
        <v>142653</v>
      </c>
      <c r="G61" t="s">
        <v>18</v>
      </c>
      <c r="H61" t="s">
        <v>49</v>
      </c>
      <c r="I61" t="s">
        <v>69</v>
      </c>
      <c r="J61" t="s">
        <v>346</v>
      </c>
      <c r="K61" s="10">
        <f>F61/(Q61*174*12)</f>
        <v>11.717600673552782</v>
      </c>
      <c r="L61" s="3">
        <v>16.4220929107695</v>
      </c>
      <c r="M61" s="2">
        <v>0.52227996880914196</v>
      </c>
      <c r="N61" s="1">
        <v>0.97353927203065105</v>
      </c>
      <c r="O61" s="1">
        <v>2.8556034482758599</v>
      </c>
      <c r="P61" s="1">
        <v>2.0014367816092</v>
      </c>
      <c r="Q61" s="19">
        <v>5.8305795019157101</v>
      </c>
      <c r="R61" s="1">
        <v>0.81417624521072796</v>
      </c>
      <c r="S61" s="16">
        <f>Q61+R61</f>
        <v>6.644755747126438</v>
      </c>
      <c r="T61" s="1">
        <v>5.0407088122605401E-2</v>
      </c>
      <c r="U61" s="1">
        <v>6.8035766949552299</v>
      </c>
      <c r="V61" s="1">
        <v>-0.97299719303952004</v>
      </c>
      <c r="W61" s="7">
        <v>-0.99537214713951305</v>
      </c>
      <c r="X61" s="6">
        <f>IF(W61&lt;=-0.65,-1,IF(W61&gt;=0.65,ROUND(W61,0),0))</f>
        <v>-1</v>
      </c>
    </row>
    <row r="62" spans="1:24" x14ac:dyDescent="0.2">
      <c r="A62">
        <v>73</v>
      </c>
      <c r="B62" s="4">
        <v>1570904.76</v>
      </c>
      <c r="C62" s="9">
        <f>B62/12</f>
        <v>130908.73</v>
      </c>
      <c r="D62" s="4">
        <v>106195.04</v>
      </c>
      <c r="E62" s="4">
        <v>8849.5866666666661</v>
      </c>
      <c r="F62" s="5">
        <v>117459</v>
      </c>
      <c r="G62" t="s">
        <v>18</v>
      </c>
      <c r="H62" t="s">
        <v>23</v>
      </c>
      <c r="I62" t="s">
        <v>70</v>
      </c>
      <c r="J62" t="s">
        <v>327</v>
      </c>
      <c r="K62" s="10">
        <f>F62/(Q62*174*12)</f>
        <v>10.57903269386653</v>
      </c>
      <c r="L62" s="3">
        <v>13.374068909151299</v>
      </c>
      <c r="M62" s="2">
        <v>0.542738039701401</v>
      </c>
      <c r="N62" s="1">
        <v>0.82950191570881204</v>
      </c>
      <c r="O62" s="1">
        <v>2.7411398467432999</v>
      </c>
      <c r="P62" s="1">
        <v>1.74688697318008</v>
      </c>
      <c r="Q62" s="19">
        <v>5.3175287356321803</v>
      </c>
      <c r="R62" s="1">
        <v>0.50766283524904199</v>
      </c>
      <c r="S62" s="16">
        <f>Q62+R62</f>
        <v>5.8251915708812225</v>
      </c>
      <c r="T62" s="1">
        <v>4.9568965517241402E-2</v>
      </c>
      <c r="U62" s="1">
        <v>5.6557407549557244</v>
      </c>
      <c r="V62" s="1">
        <v>-0.338212019323544</v>
      </c>
      <c r="W62" s="7">
        <v>0</v>
      </c>
      <c r="X62" s="6">
        <f>IF(W62&lt;=-0.65,-1,IF(W62&gt;=0.65,ROUND(W62,0),0))</f>
        <v>0</v>
      </c>
    </row>
    <row r="63" spans="1:24" x14ac:dyDescent="0.2">
      <c r="A63">
        <v>74</v>
      </c>
      <c r="B63" s="4">
        <v>2197056.09</v>
      </c>
      <c r="C63" s="9">
        <f>B63/12</f>
        <v>183088.00749999998</v>
      </c>
      <c r="D63" s="4">
        <v>133958.45000000001</v>
      </c>
      <c r="E63" s="4">
        <v>11163.204166666668</v>
      </c>
      <c r="F63" s="5">
        <v>126487</v>
      </c>
      <c r="G63" t="s">
        <v>18</v>
      </c>
      <c r="H63" t="s">
        <v>43</v>
      </c>
      <c r="I63" t="s">
        <v>71</v>
      </c>
      <c r="J63" t="s">
        <v>217</v>
      </c>
      <c r="K63" s="10">
        <f>F63/(Q63*174*12)</f>
        <v>9.5213971169408005</v>
      </c>
      <c r="L63" s="3">
        <v>17.3698173725363</v>
      </c>
      <c r="M63" s="2">
        <v>0.586811445492045</v>
      </c>
      <c r="N63" s="1">
        <v>1.0759099616858201</v>
      </c>
      <c r="O63" s="1">
        <v>2.5421455938697299</v>
      </c>
      <c r="P63" s="1">
        <v>2.7442528735632199</v>
      </c>
      <c r="Q63" s="19">
        <v>6.3623084291187704</v>
      </c>
      <c r="R63" s="1">
        <v>0.79597701149425304</v>
      </c>
      <c r="S63" s="16">
        <f>Q63+R63</f>
        <v>7.1582854406130236</v>
      </c>
      <c r="T63" s="1">
        <v>0.80028735632183901</v>
      </c>
      <c r="U63" s="1">
        <v>6.0567234478165908</v>
      </c>
      <c r="V63" s="1">
        <v>0.30558498130218498</v>
      </c>
      <c r="W63" s="7">
        <v>0</v>
      </c>
      <c r="X63" s="6">
        <f>IF(W63&lt;=-0.65,-1,IF(W63&gt;=0.65,ROUND(W63,0),0))</f>
        <v>0</v>
      </c>
    </row>
    <row r="64" spans="1:24" x14ac:dyDescent="0.2">
      <c r="A64">
        <v>76</v>
      </c>
      <c r="B64" s="4">
        <v>1283613.5</v>
      </c>
      <c r="C64" s="9">
        <f>B64/12</f>
        <v>106967.79166666667</v>
      </c>
      <c r="D64" s="4">
        <v>68504.350000000006</v>
      </c>
      <c r="E64" s="4">
        <v>5708.6958333333341</v>
      </c>
      <c r="F64" s="5">
        <v>62321</v>
      </c>
      <c r="G64" t="s">
        <v>18</v>
      </c>
      <c r="H64" t="s">
        <v>25</v>
      </c>
      <c r="I64" t="s">
        <v>72</v>
      </c>
      <c r="J64" t="s">
        <v>328</v>
      </c>
      <c r="K64" s="10">
        <f>F64/(Q64*174*12)</f>
        <v>8.0528492053236906</v>
      </c>
      <c r="L64" s="3">
        <v>20.596805250236699</v>
      </c>
      <c r="M64" s="2">
        <v>0.65780773573976903</v>
      </c>
      <c r="N64" s="1">
        <v>0.87212643678160895</v>
      </c>
      <c r="O64" s="1">
        <v>1.3077107279693501</v>
      </c>
      <c r="P64" s="1">
        <v>1.52658045977011</v>
      </c>
      <c r="Q64" s="19">
        <v>3.70641762452107</v>
      </c>
      <c r="R64" s="1">
        <v>0.61781609195402298</v>
      </c>
      <c r="S64" s="16">
        <f>Q64+R64</f>
        <v>4.324233716475093</v>
      </c>
      <c r="T64" s="1">
        <v>4.477969348659E-2</v>
      </c>
      <c r="U64" s="1">
        <v>3.4156945240139347</v>
      </c>
      <c r="V64" s="1">
        <v>0.29072310050713501</v>
      </c>
      <c r="W64" s="7">
        <v>-0.25911334326930402</v>
      </c>
      <c r="X64" s="6">
        <f>IF(W64&lt;=-0.65,-1,IF(W64&gt;=0.65,ROUND(W64,0),0))</f>
        <v>0</v>
      </c>
    </row>
    <row r="65" spans="1:24" x14ac:dyDescent="0.2">
      <c r="A65">
        <v>77</v>
      </c>
      <c r="B65" s="4">
        <v>1931775.48</v>
      </c>
      <c r="C65" s="9">
        <f>B65/12</f>
        <v>160981.29</v>
      </c>
      <c r="D65" s="4">
        <v>115313.45</v>
      </c>
      <c r="E65" s="4">
        <v>9609.4541666666664</v>
      </c>
      <c r="F65" s="5">
        <v>128303</v>
      </c>
      <c r="G65" t="s">
        <v>18</v>
      </c>
      <c r="H65" t="s">
        <v>61</v>
      </c>
      <c r="I65" t="s">
        <v>73</v>
      </c>
      <c r="J65" t="s">
        <v>163</v>
      </c>
      <c r="K65" s="10">
        <f>F65/(Q65*174*12)</f>
        <v>12.630734396534757</v>
      </c>
      <c r="L65" s="3">
        <v>15.056354722804601</v>
      </c>
      <c r="M65" s="2">
        <v>0.50101146329903701</v>
      </c>
      <c r="N65" s="1">
        <v>0.83931992337164796</v>
      </c>
      <c r="O65" s="1">
        <v>1.57998084291188</v>
      </c>
      <c r="P65" s="1">
        <v>2.4456417624521101</v>
      </c>
      <c r="Q65" s="19">
        <v>4.8649425287356296</v>
      </c>
      <c r="R65" s="1">
        <v>0.77394636015325702</v>
      </c>
      <c r="S65" s="16">
        <f>Q65+R65</f>
        <v>5.6388888888888866</v>
      </c>
      <c r="T65" s="1">
        <v>0.43989463601532602</v>
      </c>
      <c r="U65" s="1">
        <v>6.1387299042335606</v>
      </c>
      <c r="V65" s="1">
        <v>-1.2737873754979301</v>
      </c>
      <c r="W65" s="7">
        <v>-1.05401797166389</v>
      </c>
      <c r="X65" s="6">
        <f>IF(W65&lt;=-0.65,-1,IF(W65&gt;=0.65,ROUND(W65,0),0))</f>
        <v>-1</v>
      </c>
    </row>
    <row r="66" spans="1:24" x14ac:dyDescent="0.2">
      <c r="A66">
        <v>78</v>
      </c>
      <c r="B66" s="4">
        <v>2095687.26</v>
      </c>
      <c r="C66" s="9">
        <f>B66/12</f>
        <v>174640.60500000001</v>
      </c>
      <c r="D66" s="4">
        <v>70158.570000000007</v>
      </c>
      <c r="E66" s="4">
        <v>5846.5475000000006</v>
      </c>
      <c r="F66" s="5">
        <v>49171</v>
      </c>
      <c r="G66" t="s">
        <v>136</v>
      </c>
      <c r="H66" t="s">
        <v>40</v>
      </c>
      <c r="I66" t="s">
        <v>147</v>
      </c>
      <c r="J66" t="s">
        <v>311</v>
      </c>
      <c r="K66" s="10">
        <f>F66/(Q66*174*12)</f>
        <v>7.4400060523528548</v>
      </c>
      <c r="L66" s="3">
        <v>42.620391287547498</v>
      </c>
      <c r="M66" s="2">
        <v>0.84783620815636396</v>
      </c>
      <c r="N66" s="1">
        <v>0.83692528735632199</v>
      </c>
      <c r="O66" s="1">
        <v>2.3251915708812301</v>
      </c>
      <c r="P66" s="1">
        <v>3.1130268199233702E-3</v>
      </c>
      <c r="Q66" s="19">
        <v>3.16522988505747</v>
      </c>
      <c r="R66" s="1">
        <v>0.42289272030651298</v>
      </c>
      <c r="S66" s="16">
        <f>Q66+R66</f>
        <v>3.5881226053639832</v>
      </c>
      <c r="T66" s="1">
        <v>9.5785440613026795E-3</v>
      </c>
      <c r="U66" s="1">
        <v>3.6186064557950202</v>
      </c>
      <c r="V66" s="1">
        <v>-0.453376570737548</v>
      </c>
      <c r="W66" s="7">
        <v>-0.40021563666027099</v>
      </c>
      <c r="X66" s="6">
        <f>IF(W66&lt;=-0.65,-1,IF(W66&gt;=0.65,ROUND(W66,0),0))</f>
        <v>0</v>
      </c>
    </row>
    <row r="67" spans="1:24" x14ac:dyDescent="0.2">
      <c r="A67">
        <v>79</v>
      </c>
      <c r="B67" s="4">
        <v>850709.78</v>
      </c>
      <c r="C67" s="9">
        <f>B67/12</f>
        <v>70892.481666666674</v>
      </c>
      <c r="D67" s="4">
        <v>54490.13</v>
      </c>
      <c r="E67" s="4">
        <v>4540.8441666666668</v>
      </c>
      <c r="F67" s="5">
        <v>35523</v>
      </c>
      <c r="G67" t="s">
        <v>136</v>
      </c>
      <c r="H67" t="s">
        <v>19</v>
      </c>
      <c r="I67" t="s">
        <v>148</v>
      </c>
      <c r="J67" t="s">
        <v>353</v>
      </c>
      <c r="K67" s="10">
        <f>F67/(Q67*174*12)</f>
        <v>7.1916185848770118</v>
      </c>
      <c r="L67" s="3">
        <v>23.9481400782592</v>
      </c>
      <c r="M67" s="2">
        <v>0.71591768934406697</v>
      </c>
      <c r="N67" s="1">
        <v>0.67361111111111105</v>
      </c>
      <c r="O67" s="1">
        <v>0.80316091954022995</v>
      </c>
      <c r="P67" s="1">
        <v>0.88888888888888895</v>
      </c>
      <c r="Q67" s="19">
        <v>2.3656609195402298</v>
      </c>
      <c r="R67" s="1">
        <v>0.39439655172413801</v>
      </c>
      <c r="S67" s="16">
        <f>Q67+R67</f>
        <v>2.7600574712643677</v>
      </c>
      <c r="T67" s="1">
        <v>3.3524904214559399E-2</v>
      </c>
      <c r="U67" s="1">
        <v>2.6142188918103502</v>
      </c>
      <c r="V67" s="1">
        <v>-0.248557972270115</v>
      </c>
      <c r="W67" s="7">
        <v>-6.0323882621256299E-2</v>
      </c>
      <c r="X67" s="6">
        <f>IF(W67&lt;=-0.65,-1,IF(W67&gt;=0.65,ROUND(W67,0),0))</f>
        <v>0</v>
      </c>
    </row>
    <row r="68" spans="1:24" x14ac:dyDescent="0.2">
      <c r="A68">
        <v>80</v>
      </c>
      <c r="B68" s="4">
        <v>1504326.42</v>
      </c>
      <c r="C68" s="9">
        <f>B68/12</f>
        <v>125360.53499999999</v>
      </c>
      <c r="D68" s="4">
        <v>104808.47</v>
      </c>
      <c r="E68" s="4">
        <v>8734.0391666666674</v>
      </c>
      <c r="F68" s="5">
        <v>93767</v>
      </c>
      <c r="G68" t="s">
        <v>18</v>
      </c>
      <c r="H68" t="s">
        <v>49</v>
      </c>
      <c r="I68" t="s">
        <v>74</v>
      </c>
      <c r="J68" t="s">
        <v>329</v>
      </c>
      <c r="K68" s="10">
        <f>F68/(Q68*174*12)</f>
        <v>9.1739555816456235</v>
      </c>
      <c r="L68" s="3">
        <v>16.043239305939199</v>
      </c>
      <c r="M68" s="2">
        <v>0.49374337253214001</v>
      </c>
      <c r="N68" s="1">
        <v>1.00766283524904</v>
      </c>
      <c r="O68" s="1">
        <v>1.3256704980842899</v>
      </c>
      <c r="P68" s="1">
        <v>2.5617816091954002</v>
      </c>
      <c r="Q68" s="19">
        <v>4.8951149425287399</v>
      </c>
      <c r="R68" s="1">
        <v>0.69803639846743304</v>
      </c>
      <c r="S68" s="16">
        <f>Q68+R68</f>
        <v>5.5931513409961733</v>
      </c>
      <c r="T68" s="1">
        <v>0.52442528735632199</v>
      </c>
      <c r="U68" s="1">
        <v>4.6524976017896149</v>
      </c>
      <c r="V68" s="1">
        <v>0.24261734073911601</v>
      </c>
      <c r="W68" s="7">
        <v>0</v>
      </c>
      <c r="X68" s="6">
        <f>IF(W68&lt;=-0.65,-1,IF(W68&gt;=0.65,ROUND(W68,0),0))</f>
        <v>0</v>
      </c>
    </row>
    <row r="69" spans="1:24" x14ac:dyDescent="0.2">
      <c r="A69">
        <v>81</v>
      </c>
      <c r="B69" s="4">
        <v>435278.5</v>
      </c>
      <c r="C69" s="9">
        <f>B69/12</f>
        <v>36273.208333333336</v>
      </c>
      <c r="D69" s="4">
        <v>36036.33</v>
      </c>
      <c r="E69" s="4">
        <v>3003.0275000000001</v>
      </c>
      <c r="F69" s="5">
        <v>25004</v>
      </c>
      <c r="G69" t="s">
        <v>208</v>
      </c>
      <c r="H69" t="s">
        <v>21</v>
      </c>
      <c r="I69" t="s">
        <v>221</v>
      </c>
      <c r="J69" t="s">
        <v>332</v>
      </c>
      <c r="K69" s="10">
        <f>F69/(Q69*174*12)</f>
        <v>5.2684365781710838</v>
      </c>
      <c r="L69" s="3">
        <v>17.408354663253899</v>
      </c>
      <c r="M69" s="2">
        <v>0.59522140422740799</v>
      </c>
      <c r="N69" s="1">
        <v>0.113505747126437</v>
      </c>
      <c r="O69" s="1">
        <v>1.08596743295019</v>
      </c>
      <c r="P69" s="1">
        <v>1.0735153256704999</v>
      </c>
      <c r="Q69" s="19">
        <v>2.2729885057471302</v>
      </c>
      <c r="R69" s="1">
        <v>0.22222222222222199</v>
      </c>
      <c r="S69" s="16">
        <f>Q69+R69</f>
        <v>2.4952107279693521</v>
      </c>
      <c r="T69" s="1">
        <v>0.46144636015325702</v>
      </c>
      <c r="U69" s="1">
        <v>1.68273806475096</v>
      </c>
      <c r="V69" s="1">
        <v>0.59025044099616897</v>
      </c>
      <c r="W69" s="7">
        <v>0.57541589534478499</v>
      </c>
      <c r="X69" s="6">
        <f>IF(W69&lt;=-0.65,-1,IF(W69&gt;=0.65,ROUND(W69,0),0))</f>
        <v>0</v>
      </c>
    </row>
    <row r="70" spans="1:24" x14ac:dyDescent="0.2">
      <c r="A70">
        <v>82</v>
      </c>
      <c r="B70" s="4">
        <v>2148753.5299999998</v>
      </c>
      <c r="C70" s="9">
        <f>B70/12</f>
        <v>179062.79416666666</v>
      </c>
      <c r="D70" s="4">
        <v>123728.63</v>
      </c>
      <c r="E70" s="4">
        <v>10310.719166666668</v>
      </c>
      <c r="F70" s="5">
        <v>135369</v>
      </c>
      <c r="G70" t="s">
        <v>18</v>
      </c>
      <c r="H70" t="s">
        <v>35</v>
      </c>
      <c r="I70" t="s">
        <v>75</v>
      </c>
      <c r="J70" t="s">
        <v>347</v>
      </c>
      <c r="K70" s="10">
        <f>F70/(Q70*174*12)</f>
        <v>12.108139534883721</v>
      </c>
      <c r="L70" s="3">
        <v>15.8733057790188</v>
      </c>
      <c r="M70" s="2">
        <v>0.47637910803106398</v>
      </c>
      <c r="N70" s="1">
        <v>0.24545019157088099</v>
      </c>
      <c r="O70" s="1">
        <v>2.8134578544061299</v>
      </c>
      <c r="P70" s="1">
        <v>2.2954980842911898</v>
      </c>
      <c r="Q70" s="19">
        <v>5.3544061302681998</v>
      </c>
      <c r="R70" s="1">
        <v>1.3457854406130301</v>
      </c>
      <c r="S70" s="16">
        <f>Q70+R70</f>
        <v>6.7001915708812296</v>
      </c>
      <c r="T70" s="1">
        <v>0.39655172413793099</v>
      </c>
      <c r="U70" s="1">
        <v>6.4622916125525744</v>
      </c>
      <c r="V70" s="1">
        <v>-1.10788548228438</v>
      </c>
      <c r="W70" s="7">
        <v>-1.04090020216812</v>
      </c>
      <c r="X70" s="6">
        <f>IF(W70&lt;=-0.65,-1,IF(W70&gt;=0.65,ROUND(W70,0),0))</f>
        <v>-1</v>
      </c>
    </row>
    <row r="71" spans="1:24" x14ac:dyDescent="0.2">
      <c r="A71">
        <v>83</v>
      </c>
      <c r="B71" s="4">
        <v>285970.40000000002</v>
      </c>
      <c r="C71" s="9">
        <f>B71/12</f>
        <v>23830.866666666669</v>
      </c>
      <c r="D71" s="4">
        <v>37580.339999999997</v>
      </c>
      <c r="E71" s="4">
        <v>3131.6949999999997</v>
      </c>
      <c r="F71" s="5">
        <v>15046</v>
      </c>
      <c r="G71" t="s">
        <v>136</v>
      </c>
      <c r="H71" t="s">
        <v>31</v>
      </c>
      <c r="I71" t="s">
        <v>149</v>
      </c>
      <c r="J71" t="s">
        <v>175</v>
      </c>
      <c r="K71" s="10">
        <f>F71/(Q71*174*12)</f>
        <v>5.0119920053297893</v>
      </c>
      <c r="L71" s="3">
        <v>19.0064070184767</v>
      </c>
      <c r="M71" s="2">
        <v>0.63938967109882705</v>
      </c>
      <c r="N71" s="1">
        <v>0.80363984674329503</v>
      </c>
      <c r="O71" s="1">
        <v>0.63409961685823801</v>
      </c>
      <c r="P71" s="1">
        <v>0</v>
      </c>
      <c r="Q71" s="19">
        <v>1.4377394636015299</v>
      </c>
      <c r="R71" s="1">
        <v>0.30555555555555602</v>
      </c>
      <c r="S71" s="16">
        <f>Q71+R71</f>
        <v>1.743295019157086</v>
      </c>
      <c r="T71" s="1">
        <v>0.21910919540229901</v>
      </c>
      <c r="U71" s="1">
        <v>1.10726958438697</v>
      </c>
      <c r="V71" s="1">
        <v>0.330469879214559</v>
      </c>
      <c r="W71" s="7">
        <v>0.26283983925037901</v>
      </c>
      <c r="X71" s="6">
        <f>IF(W71&lt;=-0.65,-1,IF(W71&gt;=0.65,ROUND(W71,0),0))</f>
        <v>0</v>
      </c>
    </row>
    <row r="72" spans="1:24" x14ac:dyDescent="0.2">
      <c r="A72">
        <v>84</v>
      </c>
      <c r="B72" s="4">
        <v>1526822.35</v>
      </c>
      <c r="C72" s="9">
        <f>B72/12</f>
        <v>127235.19583333335</v>
      </c>
      <c r="D72" s="4">
        <v>116311.34</v>
      </c>
      <c r="E72" s="4">
        <v>9692.6116666666658</v>
      </c>
      <c r="F72" s="5">
        <v>102594</v>
      </c>
      <c r="G72" t="s">
        <v>18</v>
      </c>
      <c r="H72" t="s">
        <v>54</v>
      </c>
      <c r="I72" t="s">
        <v>76</v>
      </c>
      <c r="J72" t="s">
        <v>330</v>
      </c>
      <c r="K72" s="10">
        <f>F72/(Q72*174*12)</f>
        <v>9.2144781749595897</v>
      </c>
      <c r="L72" s="3">
        <v>14.882179757100801</v>
      </c>
      <c r="M72" s="2">
        <v>0.45806864171198403</v>
      </c>
      <c r="N72" s="1">
        <v>0.81178160919540199</v>
      </c>
      <c r="O72" s="1">
        <v>1.6566091954022999</v>
      </c>
      <c r="P72" s="1">
        <v>2.8639846743295001</v>
      </c>
      <c r="Q72" s="19">
        <v>5.3323754789272</v>
      </c>
      <c r="R72" s="1">
        <v>0.84291187739463602</v>
      </c>
      <c r="S72" s="16">
        <f>Q72+R72</f>
        <v>6.175287356321836</v>
      </c>
      <c r="T72" s="1">
        <v>1.6522988505747099E-2</v>
      </c>
      <c r="U72" s="1">
        <v>5.0184267199420454</v>
      </c>
      <c r="V72" s="1">
        <v>0.31394875898515701</v>
      </c>
      <c r="W72" s="7">
        <v>0.27460821594385298</v>
      </c>
      <c r="X72" s="6">
        <f>IF(W72&lt;=-0.65,-1,IF(W72&gt;=0.65,ROUND(W72,0),0))</f>
        <v>0</v>
      </c>
    </row>
    <row r="73" spans="1:24" x14ac:dyDescent="0.2">
      <c r="A73">
        <v>85</v>
      </c>
      <c r="B73" s="4">
        <v>1111456.1399999999</v>
      </c>
      <c r="C73" s="9">
        <f>B73/12</f>
        <v>92621.344999999987</v>
      </c>
      <c r="D73" s="4">
        <v>79166.67</v>
      </c>
      <c r="E73" s="4">
        <v>6597.2224999999999</v>
      </c>
      <c r="F73" s="5">
        <v>79276</v>
      </c>
      <c r="G73" t="s">
        <v>18</v>
      </c>
      <c r="H73" t="s">
        <v>35</v>
      </c>
      <c r="I73" t="s">
        <v>77</v>
      </c>
      <c r="J73" t="s">
        <v>331</v>
      </c>
      <c r="K73" s="10">
        <f>F73/(Q73*174*12)</f>
        <v>10.865679824561399</v>
      </c>
      <c r="L73" s="3">
        <v>14.020083505726801</v>
      </c>
      <c r="M73" s="2">
        <v>0.39832939336679501</v>
      </c>
      <c r="N73" s="1">
        <v>0.86254789272030696</v>
      </c>
      <c r="O73" s="1">
        <v>0.89703065134099602</v>
      </c>
      <c r="P73" s="1">
        <v>1.73467432950192</v>
      </c>
      <c r="Q73" s="19">
        <v>3.4942528735632199</v>
      </c>
      <c r="R73" s="1">
        <v>0.64750957854406099</v>
      </c>
      <c r="S73" s="16">
        <f>Q73+R73</f>
        <v>4.1417624521072813</v>
      </c>
      <c r="T73" s="1">
        <v>0.66091954022988497</v>
      </c>
      <c r="U73" s="1">
        <v>4.0702786842174552</v>
      </c>
      <c r="V73" s="1">
        <v>-0.57602581065423597</v>
      </c>
      <c r="W73" s="7">
        <v>-0.132653875957503</v>
      </c>
      <c r="X73" s="6">
        <f>IF(W73&lt;=-0.65,-1,IF(W73&gt;=0.65,ROUND(W73,0),0))</f>
        <v>0</v>
      </c>
    </row>
    <row r="74" spans="1:24" x14ac:dyDescent="0.2">
      <c r="A74">
        <v>86</v>
      </c>
      <c r="B74" s="4">
        <v>1493678.38</v>
      </c>
      <c r="C74" s="9">
        <f>B74/12</f>
        <v>124473.19833333332</v>
      </c>
      <c r="D74" s="4">
        <v>87449.279999999999</v>
      </c>
      <c r="E74" s="4">
        <v>7287.44</v>
      </c>
      <c r="F74" s="5">
        <v>102888</v>
      </c>
      <c r="G74" t="s">
        <v>18</v>
      </c>
      <c r="H74" t="s">
        <v>27</v>
      </c>
      <c r="I74" t="s">
        <v>78</v>
      </c>
      <c r="J74" t="s">
        <v>325</v>
      </c>
      <c r="K74" s="10">
        <f>F74/(Q74*174*12)</f>
        <v>11.538733282866525</v>
      </c>
      <c r="L74" s="3">
        <v>14.5175178835238</v>
      </c>
      <c r="M74" s="2">
        <v>0.53136386027091098</v>
      </c>
      <c r="N74" s="1">
        <v>0.87452107279693503</v>
      </c>
      <c r="O74" s="1">
        <v>1.6240421455938701</v>
      </c>
      <c r="P74" s="1">
        <v>1.7719109195402301</v>
      </c>
      <c r="Q74" s="19">
        <v>4.2704741379310303</v>
      </c>
      <c r="R74" s="1">
        <v>0.55363984674329503</v>
      </c>
      <c r="S74" s="16">
        <f>Q74+R74</f>
        <v>4.8241139846743248</v>
      </c>
      <c r="T74" s="1">
        <v>1.6403256704980801E-2</v>
      </c>
      <c r="U74" s="1">
        <v>5.0307697789995052</v>
      </c>
      <c r="V74" s="1">
        <v>-0.76029564106847003</v>
      </c>
      <c r="W74" s="7">
        <v>-0.42757689644253799</v>
      </c>
      <c r="X74" s="6">
        <f>IF(W74&lt;=-0.65,-1,IF(W74&gt;=0.65,ROUND(W74,0),0))</f>
        <v>0</v>
      </c>
    </row>
    <row r="75" spans="1:24" x14ac:dyDescent="0.2">
      <c r="A75">
        <v>87</v>
      </c>
      <c r="B75" s="4">
        <v>1514783</v>
      </c>
      <c r="C75" s="9">
        <f>B75/12</f>
        <v>126231.91666666667</v>
      </c>
      <c r="D75" s="4">
        <v>95565.39</v>
      </c>
      <c r="E75" s="4">
        <v>7963.7825000000003</v>
      </c>
      <c r="F75" s="5">
        <v>120111</v>
      </c>
      <c r="G75" t="s">
        <v>18</v>
      </c>
      <c r="H75" t="s">
        <v>21</v>
      </c>
      <c r="I75" t="s">
        <v>79</v>
      </c>
      <c r="J75" t="s">
        <v>332</v>
      </c>
      <c r="K75" s="10">
        <f>F75/(Q75*174*12)</f>
        <v>11.742777533362673</v>
      </c>
      <c r="L75" s="3">
        <v>12.6115260051119</v>
      </c>
      <c r="M75" s="2">
        <v>0.453986485192929</v>
      </c>
      <c r="N75" s="1">
        <v>0.88649425287356298</v>
      </c>
      <c r="O75" s="1">
        <v>1.7998084291187699</v>
      </c>
      <c r="P75" s="1">
        <v>2.2124042145593901</v>
      </c>
      <c r="Q75" s="19">
        <v>4.8987068965517198</v>
      </c>
      <c r="R75" s="1">
        <v>0.81800766283524895</v>
      </c>
      <c r="S75" s="16">
        <f>Q75+R75</f>
        <v>5.7167145593869684</v>
      </c>
      <c r="T75" s="1">
        <v>0.16451149425287401</v>
      </c>
      <c r="U75" s="1">
        <v>5.772394804079525</v>
      </c>
      <c r="V75" s="1">
        <v>-0.87368790752780101</v>
      </c>
      <c r="W75" s="7">
        <v>-9.79774642569642E-2</v>
      </c>
      <c r="X75" s="6">
        <f>IF(W75&lt;=-0.65,-1,IF(W75&gt;=0.65,ROUND(W75,0),0))</f>
        <v>0</v>
      </c>
    </row>
    <row r="76" spans="1:24" x14ac:dyDescent="0.2">
      <c r="A76">
        <v>88</v>
      </c>
      <c r="B76" s="4">
        <v>792386.5</v>
      </c>
      <c r="C76" s="9">
        <f>B76/12</f>
        <v>66032.208333333328</v>
      </c>
      <c r="D76" s="4">
        <v>50420.85</v>
      </c>
      <c r="E76" s="4">
        <v>4201.7375000000002</v>
      </c>
      <c r="F76" s="5">
        <v>27925</v>
      </c>
      <c r="G76" t="s">
        <v>136</v>
      </c>
      <c r="H76" t="s">
        <v>19</v>
      </c>
      <c r="I76" t="s">
        <v>150</v>
      </c>
      <c r="J76" t="s">
        <v>318</v>
      </c>
      <c r="K76" s="10">
        <f>F76/(Q76*174*12)</f>
        <v>5.7929675344881213</v>
      </c>
      <c r="L76" s="3">
        <v>28.375523724261399</v>
      </c>
      <c r="M76" s="2">
        <v>0.73812173730874997</v>
      </c>
      <c r="N76" s="1">
        <v>0.89607279693486597</v>
      </c>
      <c r="O76" s="1">
        <v>0.51628352490421503</v>
      </c>
      <c r="P76" s="1">
        <v>0.89631226053639901</v>
      </c>
      <c r="Q76" s="19">
        <v>2.3086685823754798</v>
      </c>
      <c r="R76" s="1">
        <v>0.33908045977011497</v>
      </c>
      <c r="S76" s="16">
        <f>Q76+R76</f>
        <v>2.6477490421455947</v>
      </c>
      <c r="T76" s="1" t="s">
        <v>388</v>
      </c>
      <c r="U76" s="1">
        <v>2.0550646779214601</v>
      </c>
      <c r="V76" s="1">
        <v>0.25360390445402298</v>
      </c>
      <c r="W76" s="7">
        <v>0.123359814902696</v>
      </c>
      <c r="X76" s="6">
        <f>IF(W76&lt;=-0.65,-1,IF(W76&gt;=0.65,ROUND(W76,0),0))</f>
        <v>0</v>
      </c>
    </row>
    <row r="77" spans="1:24" x14ac:dyDescent="0.2">
      <c r="A77">
        <v>89</v>
      </c>
      <c r="B77" s="4">
        <v>1976139.61</v>
      </c>
      <c r="C77" s="9">
        <f>B77/12</f>
        <v>164678.30083333334</v>
      </c>
      <c r="D77" s="4">
        <v>99223.15</v>
      </c>
      <c r="E77" s="4">
        <v>8268.5958333333328</v>
      </c>
      <c r="F77" s="5">
        <v>63975</v>
      </c>
      <c r="G77" t="s">
        <v>136</v>
      </c>
      <c r="H77" t="s">
        <v>21</v>
      </c>
      <c r="I77" t="s">
        <v>151</v>
      </c>
      <c r="J77" t="s">
        <v>316</v>
      </c>
      <c r="K77" s="10">
        <f>F77/(Q77*174*12)</f>
        <v>6.5021851814208818</v>
      </c>
      <c r="L77" s="3">
        <v>30.889247518561898</v>
      </c>
      <c r="M77" s="2">
        <v>0.84415631950214298</v>
      </c>
      <c r="N77" s="1">
        <v>0.83429118773946398</v>
      </c>
      <c r="O77" s="1">
        <v>2.3887691570881202</v>
      </c>
      <c r="P77" s="1">
        <v>1.4891044061302701</v>
      </c>
      <c r="Q77" s="19">
        <v>4.7121647509578501</v>
      </c>
      <c r="R77" s="1">
        <v>1.12811302681992</v>
      </c>
      <c r="S77" s="16">
        <f>Q77+R77</f>
        <v>5.8402777777777697</v>
      </c>
      <c r="T77" s="1">
        <v>2.3946360153256699E-3</v>
      </c>
      <c r="U77" s="1">
        <v>4.70806670617816</v>
      </c>
      <c r="V77" s="1">
        <v>4.0980447796936702E-3</v>
      </c>
      <c r="W77" s="7">
        <v>0</v>
      </c>
      <c r="X77" s="6">
        <f>IF(W77&lt;=-0.65,-1,IF(W77&gt;=0.65,ROUND(W77,0),0))</f>
        <v>0</v>
      </c>
    </row>
    <row r="78" spans="1:24" x14ac:dyDescent="0.2">
      <c r="A78">
        <v>90</v>
      </c>
      <c r="B78" s="4">
        <v>1682755.19</v>
      </c>
      <c r="C78" s="9">
        <f>B78/12</f>
        <v>140229.59916666665</v>
      </c>
      <c r="D78" s="4">
        <v>102961.43</v>
      </c>
      <c r="E78" s="4">
        <v>8580.1191666666655</v>
      </c>
      <c r="F78" s="5">
        <v>104445</v>
      </c>
      <c r="G78" t="s">
        <v>18</v>
      </c>
      <c r="H78" t="s">
        <v>33</v>
      </c>
      <c r="I78" t="s">
        <v>80</v>
      </c>
      <c r="J78" t="s">
        <v>333</v>
      </c>
      <c r="K78" s="10">
        <f>F78/(Q78*174*12)</f>
        <v>10.59279918864098</v>
      </c>
      <c r="L78" s="3">
        <v>16.111400162765101</v>
      </c>
      <c r="M78" s="2">
        <v>0.53161084590088203</v>
      </c>
      <c r="N78" s="1">
        <v>0.86182950191570895</v>
      </c>
      <c r="O78" s="1">
        <v>2.0440613026819898</v>
      </c>
      <c r="P78" s="1">
        <v>1.81633141762452</v>
      </c>
      <c r="Q78" s="19">
        <v>4.7222222222222197</v>
      </c>
      <c r="R78" s="1">
        <v>0.65062260536398497</v>
      </c>
      <c r="S78" s="16">
        <f>Q78+R78</f>
        <v>5.3728448275862046</v>
      </c>
      <c r="T78" s="1">
        <v>0.43007662835249</v>
      </c>
      <c r="U78" s="1">
        <v>5.0963084404208843</v>
      </c>
      <c r="V78" s="1">
        <v>-0.374086218198667</v>
      </c>
      <c r="W78" s="7">
        <v>-0.34709106016449598</v>
      </c>
      <c r="X78" s="6">
        <f>IF(W78&lt;=-0.65,-1,IF(W78&gt;=0.65,ROUND(W78,0),0))</f>
        <v>0</v>
      </c>
    </row>
    <row r="79" spans="1:24" x14ac:dyDescent="0.2">
      <c r="A79">
        <v>91</v>
      </c>
      <c r="B79" s="4">
        <v>1165500.3999999999</v>
      </c>
      <c r="C79" s="9">
        <f>B79/12</f>
        <v>97125.033333333326</v>
      </c>
      <c r="D79" s="4">
        <v>95083.45</v>
      </c>
      <c r="E79" s="4">
        <v>7923.6208333333334</v>
      </c>
      <c r="F79" s="5">
        <v>85283</v>
      </c>
      <c r="G79" t="s">
        <v>18</v>
      </c>
      <c r="H79" t="s">
        <v>19</v>
      </c>
      <c r="I79" t="s">
        <v>81</v>
      </c>
      <c r="J79" t="s">
        <v>312</v>
      </c>
      <c r="K79" s="10">
        <f>F79/(Q79*174*12)</f>
        <v>9.6989650858637653</v>
      </c>
      <c r="L79" s="3">
        <v>13.6662687757232</v>
      </c>
      <c r="M79" s="2">
        <v>0.47441604481645799</v>
      </c>
      <c r="N79" s="1">
        <v>0.99185823754789304</v>
      </c>
      <c r="O79" s="1">
        <v>0.94564176245210696</v>
      </c>
      <c r="P79" s="1">
        <v>2.2737068965517202</v>
      </c>
      <c r="Q79" s="19">
        <v>4.2112068965517198</v>
      </c>
      <c r="R79" s="1">
        <v>1.42528735632184</v>
      </c>
      <c r="S79" s="16">
        <f>Q79+R79</f>
        <v>5.6364942528735593</v>
      </c>
      <c r="T79" s="1">
        <v>0.63170498084291204</v>
      </c>
      <c r="U79" s="1">
        <v>4.3089455005050894</v>
      </c>
      <c r="V79" s="1">
        <v>-9.7738603953363395E-2</v>
      </c>
      <c r="W79" s="7">
        <v>3.6181794932146502E-2</v>
      </c>
      <c r="X79" s="6">
        <f>IF(W79&lt;=-0.65,-1,IF(W79&gt;=0.65,ROUND(W79,0),0))</f>
        <v>0</v>
      </c>
    </row>
    <row r="80" spans="1:24" x14ac:dyDescent="0.2">
      <c r="A80">
        <v>92</v>
      </c>
      <c r="B80" s="4">
        <v>1638548.62</v>
      </c>
      <c r="C80" s="9">
        <f>B80/12</f>
        <v>136545.71833333335</v>
      </c>
      <c r="D80" s="4">
        <v>91011.79</v>
      </c>
      <c r="E80" s="4">
        <v>7584.3158333333331</v>
      </c>
      <c r="F80" s="5">
        <v>95112</v>
      </c>
      <c r="G80" t="s">
        <v>18</v>
      </c>
      <c r="H80" t="s">
        <v>27</v>
      </c>
      <c r="I80" t="s">
        <v>82</v>
      </c>
      <c r="J80" t="s">
        <v>315</v>
      </c>
      <c r="K80" s="10">
        <f>F80/(Q80*174*12)</f>
        <v>10.525896414342634</v>
      </c>
      <c r="L80" s="3">
        <v>17.2275698124317</v>
      </c>
      <c r="M80" s="2">
        <v>0.53034845557405597</v>
      </c>
      <c r="N80" s="1">
        <v>0.84315134099616895</v>
      </c>
      <c r="O80" s="1">
        <v>1.74401340996169</v>
      </c>
      <c r="P80" s="1">
        <v>1.7404214559386999</v>
      </c>
      <c r="Q80" s="19">
        <v>4.3275862068965498</v>
      </c>
      <c r="R80" s="1">
        <v>0.51340996168582398</v>
      </c>
      <c r="S80" s="16">
        <f>Q80+R80</f>
        <v>4.8409961685823735</v>
      </c>
      <c r="T80" s="1">
        <v>8.6925287356321795E-2</v>
      </c>
      <c r="U80" s="1">
        <v>4.7076837938916096</v>
      </c>
      <c r="V80" s="1">
        <v>-0.38009758699505802</v>
      </c>
      <c r="W80" s="7">
        <v>-0.51870253398448596</v>
      </c>
      <c r="X80" s="6">
        <f>IF(W80&lt;=-0.65,-1,IF(W80&gt;=0.65,ROUND(W80,0),0))</f>
        <v>0</v>
      </c>
    </row>
    <row r="81" spans="1:24" x14ac:dyDescent="0.2">
      <c r="A81">
        <v>93</v>
      </c>
      <c r="B81" s="4">
        <v>1038568.57</v>
      </c>
      <c r="C81" s="9">
        <f>B81/12</f>
        <v>86547.380833333329</v>
      </c>
      <c r="D81" s="4">
        <v>87798.27</v>
      </c>
      <c r="E81" s="4">
        <v>7316.5225</v>
      </c>
      <c r="F81" s="5">
        <v>75487</v>
      </c>
      <c r="G81" t="s">
        <v>18</v>
      </c>
      <c r="H81" t="s">
        <v>49</v>
      </c>
      <c r="I81" t="s">
        <v>83</v>
      </c>
      <c r="J81" t="s">
        <v>321</v>
      </c>
      <c r="K81" s="10">
        <f>F81/(Q81*174*12)</f>
        <v>9.3697014832743815</v>
      </c>
      <c r="L81" s="3">
        <v>13.758244068515101</v>
      </c>
      <c r="M81" s="2">
        <v>0.46387469630435701</v>
      </c>
      <c r="N81" s="1">
        <v>0.88481800766283503</v>
      </c>
      <c r="O81" s="1">
        <v>1.05555555555556</v>
      </c>
      <c r="P81" s="1">
        <v>1.9181034482758601</v>
      </c>
      <c r="Q81" s="19">
        <v>3.8584770114942502</v>
      </c>
      <c r="R81" s="1">
        <v>0.5</v>
      </c>
      <c r="S81" s="16">
        <f>Q81+R81</f>
        <v>4.3584770114942497</v>
      </c>
      <c r="T81" s="1">
        <v>0.46096743295019199</v>
      </c>
      <c r="U81" s="1">
        <v>3.9216088024694953</v>
      </c>
      <c r="V81" s="1">
        <v>-6.3131790975237106E-2</v>
      </c>
      <c r="W81" s="7">
        <v>5.8638150095142602E-2</v>
      </c>
      <c r="X81" s="6">
        <f>IF(W81&lt;=-0.65,-1,IF(W81&gt;=0.65,ROUND(W81,0),0))</f>
        <v>0</v>
      </c>
    </row>
    <row r="82" spans="1:24" x14ac:dyDescent="0.2">
      <c r="A82">
        <v>94</v>
      </c>
      <c r="B82" s="4">
        <v>1244627.75</v>
      </c>
      <c r="C82" s="9">
        <f>B82/12</f>
        <v>103718.97916666667</v>
      </c>
      <c r="D82" s="4">
        <v>97506.1</v>
      </c>
      <c r="E82" s="4">
        <v>8125.5083333333341</v>
      </c>
      <c r="F82" s="5">
        <v>92898</v>
      </c>
      <c r="G82" t="s">
        <v>18</v>
      </c>
      <c r="H82" t="s">
        <v>37</v>
      </c>
      <c r="I82" t="s">
        <v>84</v>
      </c>
      <c r="J82" t="s">
        <v>334</v>
      </c>
      <c r="K82" s="10">
        <f>F82/(Q82*174*12)</f>
        <v>9.7143155913416237</v>
      </c>
      <c r="L82" s="3">
        <v>13.3977884346272</v>
      </c>
      <c r="M82" s="2">
        <v>0.48695483448766103</v>
      </c>
      <c r="N82" s="1">
        <v>0.88050766283524895</v>
      </c>
      <c r="O82" s="1">
        <v>1.2413793103448301</v>
      </c>
      <c r="P82" s="1">
        <v>2.4580938697318002</v>
      </c>
      <c r="Q82" s="19">
        <v>4.5799808429118798</v>
      </c>
      <c r="R82" s="1">
        <v>0.70641762452107304</v>
      </c>
      <c r="S82" s="16">
        <f>Q82+R82</f>
        <v>5.2863984674329529</v>
      </c>
      <c r="T82" s="1">
        <v>2.82567049808429E-2</v>
      </c>
      <c r="U82" s="1">
        <v>4.6169488560622405</v>
      </c>
      <c r="V82" s="1">
        <v>-3.69680131503669E-2</v>
      </c>
      <c r="W82" s="7">
        <v>0.13181692636223399</v>
      </c>
      <c r="X82" s="6">
        <f>IF(W82&lt;=-0.65,-1,IF(W82&gt;=0.65,ROUND(W82,0),0))</f>
        <v>0</v>
      </c>
    </row>
    <row r="83" spans="1:24" x14ac:dyDescent="0.2">
      <c r="A83">
        <v>96</v>
      </c>
      <c r="B83" s="4">
        <v>562927.49</v>
      </c>
      <c r="C83" s="9">
        <f>B83/12</f>
        <v>46910.624166666668</v>
      </c>
      <c r="D83" s="4">
        <v>52189.7</v>
      </c>
      <c r="E83" s="4">
        <v>4349.1416666666664</v>
      </c>
      <c r="F83" s="5">
        <v>27204</v>
      </c>
      <c r="G83" t="s">
        <v>270</v>
      </c>
      <c r="H83" t="s">
        <v>19</v>
      </c>
      <c r="I83" t="s">
        <v>286</v>
      </c>
      <c r="J83" t="s">
        <v>286</v>
      </c>
      <c r="K83" s="10">
        <f>F83/(Q83*174*12)</f>
        <v>6.7303315190499831</v>
      </c>
      <c r="L83" s="3">
        <v>20.6928205410969</v>
      </c>
      <c r="M83" s="2">
        <v>0.60065329195417305</v>
      </c>
      <c r="N83" s="1">
        <v>0.70641762452107304</v>
      </c>
      <c r="O83" s="1">
        <v>0.38697318007662801</v>
      </c>
      <c r="P83" s="1">
        <v>0.84243295019157105</v>
      </c>
      <c r="Q83" s="19">
        <v>1.93582375478927</v>
      </c>
      <c r="R83" s="1">
        <v>0.48323754789272</v>
      </c>
      <c r="S83" s="16">
        <f>Q83+R83</f>
        <v>2.4190613026819898</v>
      </c>
      <c r="T83" s="1">
        <v>0.199233716475096</v>
      </c>
      <c r="U83" s="1">
        <v>1.93208071609195</v>
      </c>
      <c r="V83" s="1">
        <v>3.7430386973180698E-3</v>
      </c>
      <c r="W83" s="7">
        <v>0</v>
      </c>
      <c r="X83" s="6">
        <f>IF(W83&lt;=-0.65,-1,IF(W83&gt;=0.65,ROUND(W83,0),0))</f>
        <v>0</v>
      </c>
    </row>
    <row r="84" spans="1:24" x14ac:dyDescent="0.2">
      <c r="A84">
        <v>97</v>
      </c>
      <c r="B84" s="4">
        <v>1499991.97</v>
      </c>
      <c r="C84" s="9">
        <f>B84/12</f>
        <v>124999.33083333333</v>
      </c>
      <c r="D84" s="4">
        <v>63370.69</v>
      </c>
      <c r="E84" s="4">
        <v>5280.8908333333338</v>
      </c>
      <c r="F84" s="5">
        <v>59833</v>
      </c>
      <c r="G84" t="s">
        <v>136</v>
      </c>
      <c r="H84" t="s">
        <v>21</v>
      </c>
      <c r="I84" t="s">
        <v>152</v>
      </c>
      <c r="J84" t="s">
        <v>332</v>
      </c>
      <c r="K84" s="10">
        <f>F84/(Q84*174*12)</f>
        <v>7.4133316813282075</v>
      </c>
      <c r="L84" s="3">
        <v>25.069643340631401</v>
      </c>
      <c r="M84" s="2">
        <v>0.82029113795855801</v>
      </c>
      <c r="N84" s="1">
        <v>0.81010536398467403</v>
      </c>
      <c r="O84" s="1">
        <v>1.3829022988505699</v>
      </c>
      <c r="P84" s="1">
        <v>1.67241379310345</v>
      </c>
      <c r="Q84" s="19">
        <v>3.8654214559387001</v>
      </c>
      <c r="R84" s="1">
        <v>1.2854406130268199</v>
      </c>
      <c r="S84" s="16">
        <f>Q84+R84</f>
        <v>5.1508620689655196</v>
      </c>
      <c r="T84" s="1">
        <v>5.50766283524904E-2</v>
      </c>
      <c r="U84" s="1">
        <v>4.4032474440134104</v>
      </c>
      <c r="V84" s="1">
        <v>-0.53782598807471305</v>
      </c>
      <c r="W84" s="7">
        <v>-0.36441730086499002</v>
      </c>
      <c r="X84" s="6">
        <f>IF(W84&lt;=-0.65,-1,IF(W84&gt;=0.65,ROUND(W84,0),0))</f>
        <v>0</v>
      </c>
    </row>
    <row r="85" spans="1:24" x14ac:dyDescent="0.2">
      <c r="A85">
        <v>98</v>
      </c>
      <c r="B85" s="4">
        <v>1193531.57</v>
      </c>
      <c r="C85" s="9">
        <f>B85/12</f>
        <v>99460.964166666672</v>
      </c>
      <c r="D85" s="4">
        <v>62053.120000000003</v>
      </c>
      <c r="E85" s="4">
        <v>5171.0933333333332</v>
      </c>
      <c r="F85" s="5">
        <v>44295</v>
      </c>
      <c r="G85" t="s">
        <v>136</v>
      </c>
      <c r="H85" t="s">
        <v>23</v>
      </c>
      <c r="I85" t="s">
        <v>153</v>
      </c>
      <c r="J85" t="s">
        <v>327</v>
      </c>
      <c r="K85" s="10">
        <f>F85/(Q85*174*12)</f>
        <v>8.7479016490569634</v>
      </c>
      <c r="L85" s="3">
        <v>26.945063099672701</v>
      </c>
      <c r="M85" s="2">
        <v>0.82249303217006697</v>
      </c>
      <c r="N85" s="1">
        <v>0.78376436781609204</v>
      </c>
      <c r="O85" s="1">
        <v>1.6178160919540201</v>
      </c>
      <c r="P85" s="1">
        <v>2.3467432950191599E-2</v>
      </c>
      <c r="Q85" s="19">
        <v>2.4250478927203099</v>
      </c>
      <c r="R85" s="1">
        <v>0.73180076628352497</v>
      </c>
      <c r="S85" s="16">
        <f>Q85+R85</f>
        <v>3.1568486590038347</v>
      </c>
      <c r="T85" s="1">
        <v>9.3390804597701191E-3</v>
      </c>
      <c r="U85" s="1">
        <v>3.2597704533046001</v>
      </c>
      <c r="V85" s="1">
        <v>-0.83472256058429195</v>
      </c>
      <c r="W85" s="7">
        <v>-0.68409361201162999</v>
      </c>
      <c r="X85" s="6">
        <f>IF(W85&lt;=-0.65,-1,IF(W85&gt;=0.65,ROUND(W85,0),0))</f>
        <v>-1</v>
      </c>
    </row>
    <row r="86" spans="1:24" x14ac:dyDescent="0.2">
      <c r="A86">
        <v>99</v>
      </c>
      <c r="B86" s="4">
        <v>298611.53000000003</v>
      </c>
      <c r="C86" s="9">
        <f>B86/12</f>
        <v>24884.29416666667</v>
      </c>
      <c r="D86" s="4">
        <v>35764.620000000003</v>
      </c>
      <c r="E86" s="4">
        <v>2980.3850000000002</v>
      </c>
      <c r="F86" s="5">
        <v>18036</v>
      </c>
      <c r="G86" t="s">
        <v>208</v>
      </c>
      <c r="H86" t="s">
        <v>46</v>
      </c>
      <c r="I86" t="s">
        <v>212</v>
      </c>
      <c r="J86" t="s">
        <v>175</v>
      </c>
      <c r="K86" s="10">
        <f>F86/(Q86*174*12)</f>
        <v>4.2283436877271123</v>
      </c>
      <c r="L86" s="3">
        <v>16.556416611222001</v>
      </c>
      <c r="M86" s="2">
        <v>0.40488342831236301</v>
      </c>
      <c r="N86" s="1">
        <v>0.12978927203065099</v>
      </c>
      <c r="O86" s="1">
        <v>0.95881226053639901</v>
      </c>
      <c r="P86" s="1">
        <v>0.95426245210728</v>
      </c>
      <c r="Q86" s="19">
        <v>2.0428639846743302</v>
      </c>
      <c r="R86" s="1">
        <v>0.20905172413793099</v>
      </c>
      <c r="S86" s="16">
        <f>Q86+R86</f>
        <v>2.2519157088122612</v>
      </c>
      <c r="T86" s="1">
        <v>0.48802681992337199</v>
      </c>
      <c r="U86" s="1">
        <v>1.2138003413793099</v>
      </c>
      <c r="V86" s="1">
        <v>0.82906364329501903</v>
      </c>
      <c r="W86" s="7">
        <v>0.828306596765919</v>
      </c>
      <c r="X86" s="6">
        <f>IF(W86&lt;=-0.65,-1,IF(W86&gt;=0.65,ROUND(W86,0),0))</f>
        <v>1</v>
      </c>
    </row>
    <row r="87" spans="1:24" x14ac:dyDescent="0.2">
      <c r="A87">
        <v>100</v>
      </c>
      <c r="B87" s="4">
        <v>486235.51</v>
      </c>
      <c r="C87" s="9">
        <f>B87/12</f>
        <v>40519.625833333332</v>
      </c>
      <c r="D87" s="4">
        <v>38685.089999999997</v>
      </c>
      <c r="E87" s="4">
        <v>3223.7574999999997</v>
      </c>
      <c r="F87" s="5">
        <v>28379</v>
      </c>
      <c r="G87" t="s">
        <v>270</v>
      </c>
      <c r="H87" t="s">
        <v>25</v>
      </c>
      <c r="I87" t="s">
        <v>306</v>
      </c>
      <c r="J87" t="s">
        <v>335</v>
      </c>
      <c r="K87" s="10">
        <f>F87/(Q87*174*12)</f>
        <v>12.040305473058984</v>
      </c>
      <c r="L87" s="3">
        <v>17.133637901265001</v>
      </c>
      <c r="M87" s="2">
        <v>0.62611237505051798</v>
      </c>
      <c r="N87" s="1">
        <v>0.85033524904214597</v>
      </c>
      <c r="O87" s="1">
        <v>0.118055555555556</v>
      </c>
      <c r="P87" s="1">
        <v>0.16044061302682</v>
      </c>
      <c r="Q87" s="19">
        <v>1.12883141762452</v>
      </c>
      <c r="R87" s="1">
        <v>0.109434865900383</v>
      </c>
      <c r="S87" s="16">
        <f>Q87+R87</f>
        <v>1.238266283524903</v>
      </c>
      <c r="T87" s="1">
        <v>0.28208812260536398</v>
      </c>
      <c r="U87" s="1">
        <v>2.0155314895593901</v>
      </c>
      <c r="V87" s="1">
        <v>-0.886700071934866</v>
      </c>
      <c r="W87" s="7">
        <v>-0.65494490871022204</v>
      </c>
      <c r="X87" s="6">
        <f>IF(W87&lt;=-0.65,-1,IF(W87&gt;=0.65,ROUND(W87,0),0))</f>
        <v>-1</v>
      </c>
    </row>
    <row r="88" spans="1:24" x14ac:dyDescent="0.2">
      <c r="A88">
        <v>101</v>
      </c>
      <c r="B88" s="4">
        <v>395105.9</v>
      </c>
      <c r="C88" s="9">
        <f>B88/12</f>
        <v>32925.491666666669</v>
      </c>
      <c r="D88" s="4">
        <v>38469.39</v>
      </c>
      <c r="E88" s="4">
        <v>3205.7824999999998</v>
      </c>
      <c r="F88" s="5">
        <v>25875</v>
      </c>
      <c r="G88" t="s">
        <v>270</v>
      </c>
      <c r="H88" t="s">
        <v>27</v>
      </c>
      <c r="I88" t="s">
        <v>281</v>
      </c>
      <c r="J88" t="s">
        <v>314</v>
      </c>
      <c r="K88" s="10">
        <f>F88/(Q88*174*12)</f>
        <v>6.1431623931624078</v>
      </c>
      <c r="L88" s="3">
        <v>15.269793236715</v>
      </c>
      <c r="M88" s="2">
        <v>0.56703099093179798</v>
      </c>
      <c r="N88" s="1">
        <v>0.62859195402298895</v>
      </c>
      <c r="O88" s="1">
        <v>0.43295019157088099</v>
      </c>
      <c r="P88" s="1">
        <v>0.95569923371647503</v>
      </c>
      <c r="Q88" s="19">
        <v>2.0172413793103399</v>
      </c>
      <c r="R88" s="1">
        <v>0.38505747126436801</v>
      </c>
      <c r="S88" s="16">
        <f>Q88+R88</f>
        <v>2.402298850574708</v>
      </c>
      <c r="T88" s="1">
        <v>0.53424329501915702</v>
      </c>
      <c r="U88" s="1">
        <v>1.8376925646551701</v>
      </c>
      <c r="V88" s="1">
        <v>0.179548814655172</v>
      </c>
      <c r="W88" s="7">
        <v>2.2848888035434099E-3</v>
      </c>
      <c r="X88" s="6">
        <f>IF(W88&lt;=-0.65,-1,IF(W88&gt;=0.65,ROUND(W88,0),0))</f>
        <v>0</v>
      </c>
    </row>
    <row r="89" spans="1:24" x14ac:dyDescent="0.2">
      <c r="A89">
        <v>102</v>
      </c>
      <c r="B89" s="4">
        <v>2439655.2999999998</v>
      </c>
      <c r="C89" s="9">
        <f>B89/12</f>
        <v>203304.60833333331</v>
      </c>
      <c r="D89" s="4">
        <v>77511.070000000007</v>
      </c>
      <c r="E89" s="4">
        <v>6459.2558333333336</v>
      </c>
      <c r="F89" s="5">
        <v>68096</v>
      </c>
      <c r="G89" t="s">
        <v>136</v>
      </c>
      <c r="H89" t="s">
        <v>21</v>
      </c>
      <c r="I89" t="s">
        <v>154</v>
      </c>
      <c r="J89" t="s">
        <v>332</v>
      </c>
      <c r="K89" s="10">
        <f>F89/(Q89*174*12)</f>
        <v>9.3103636860814891</v>
      </c>
      <c r="L89" s="3">
        <v>35.826704945958603</v>
      </c>
      <c r="M89" s="2">
        <v>0.85403367024841603</v>
      </c>
      <c r="N89" s="1">
        <v>0.86637931034482796</v>
      </c>
      <c r="O89" s="1">
        <v>2.63266283524904</v>
      </c>
      <c r="P89" s="1">
        <v>3.83141762452107E-3</v>
      </c>
      <c r="Q89" s="19">
        <v>3.5028735632183898</v>
      </c>
      <c r="R89" s="1">
        <v>0.69540229885057503</v>
      </c>
      <c r="S89" s="16">
        <f>Q89+R89</f>
        <v>4.1982758620689644</v>
      </c>
      <c r="T89" s="1">
        <v>5.1005747126436803E-2</v>
      </c>
      <c r="U89" s="1">
        <v>5.0113405302681997</v>
      </c>
      <c r="V89" s="1">
        <v>-1.5084669670498101</v>
      </c>
      <c r="W89" s="7">
        <v>-1.4298538925769999</v>
      </c>
      <c r="X89" s="6">
        <f>IF(W89&lt;=-0.65,-1,IF(W89&gt;=0.65,1,0))</f>
        <v>-1</v>
      </c>
    </row>
    <row r="90" spans="1:24" x14ac:dyDescent="0.2">
      <c r="A90">
        <v>103</v>
      </c>
      <c r="B90" s="4">
        <v>961638.29</v>
      </c>
      <c r="C90" s="9">
        <f>B90/12</f>
        <v>80136.52416666667</v>
      </c>
      <c r="D90" s="4">
        <v>53934</v>
      </c>
      <c r="E90" s="4">
        <v>4494.5</v>
      </c>
      <c r="F90" s="5">
        <v>34183</v>
      </c>
      <c r="G90" t="s">
        <v>136</v>
      </c>
      <c r="H90" t="s">
        <v>21</v>
      </c>
      <c r="I90" t="s">
        <v>155</v>
      </c>
      <c r="J90" t="s">
        <v>332</v>
      </c>
      <c r="K90" s="10">
        <f>F90/(Q90*174*12)</f>
        <v>7.5434182941630636</v>
      </c>
      <c r="L90" s="3">
        <v>28.132062428692599</v>
      </c>
      <c r="M90" s="2">
        <v>0.832891200702917</v>
      </c>
      <c r="N90" s="1">
        <v>0.87356321839080497</v>
      </c>
      <c r="O90" s="1">
        <v>1.2966954022988499</v>
      </c>
      <c r="P90" s="1">
        <v>0</v>
      </c>
      <c r="Q90" s="19">
        <v>2.1702586206896601</v>
      </c>
      <c r="R90" s="1">
        <v>0.31800766283524901</v>
      </c>
      <c r="S90" s="16">
        <f>Q90+R90</f>
        <v>2.4882662835249092</v>
      </c>
      <c r="T90" s="1">
        <v>0.105842911877395</v>
      </c>
      <c r="U90" s="1">
        <v>2.51560522418582</v>
      </c>
      <c r="V90" s="1">
        <v>-0.34534660349616902</v>
      </c>
      <c r="W90" s="7">
        <v>-0.20775242743639699</v>
      </c>
      <c r="X90" s="6">
        <f>IF(W90&lt;=-0.65,-1,IF(W90&gt;=0.65,ROUND(W90,0),0))</f>
        <v>0</v>
      </c>
    </row>
    <row r="91" spans="1:24" x14ac:dyDescent="0.2">
      <c r="A91">
        <v>104</v>
      </c>
      <c r="B91" s="4">
        <v>2276340.0099999998</v>
      </c>
      <c r="C91" s="9">
        <f>B91/12</f>
        <v>189695.00083333332</v>
      </c>
      <c r="D91" s="4">
        <v>90004.32</v>
      </c>
      <c r="E91" s="4">
        <v>7500.3600000000006</v>
      </c>
      <c r="F91" s="5">
        <v>69123</v>
      </c>
      <c r="G91" t="s">
        <v>136</v>
      </c>
      <c r="H91" t="s">
        <v>21</v>
      </c>
      <c r="I91" t="s">
        <v>156</v>
      </c>
      <c r="J91" t="s">
        <v>354</v>
      </c>
      <c r="K91" s="10">
        <f>F91/(Q91*174*12)</f>
        <v>7.7435725088220453</v>
      </c>
      <c r="L91" s="3">
        <v>32.931730538315797</v>
      </c>
      <c r="M91" s="2">
        <v>0.80904534995191701</v>
      </c>
      <c r="N91" s="1">
        <v>0.67863984674329503</v>
      </c>
      <c r="O91" s="1">
        <v>1.98994252873563</v>
      </c>
      <c r="P91" s="1">
        <v>1.60656130268199</v>
      </c>
      <c r="Q91" s="19">
        <v>4.2751436781609202</v>
      </c>
      <c r="R91" s="1">
        <v>1.05555555555556</v>
      </c>
      <c r="S91" s="16">
        <f>Q91+R91</f>
        <v>5.33069923371648</v>
      </c>
      <c r="T91" s="1">
        <v>0.10727969348659</v>
      </c>
      <c r="U91" s="1">
        <v>5.0869198113505796</v>
      </c>
      <c r="V91" s="1">
        <v>-0.81177613318965602</v>
      </c>
      <c r="W91" s="7">
        <v>-0.71577951617204705</v>
      </c>
      <c r="X91" s="6">
        <f>IF(W91&lt;=-0.65,-1,IF(W91&gt;=0.65,ROUND(W91,0),0))</f>
        <v>-1</v>
      </c>
    </row>
    <row r="92" spans="1:24" x14ac:dyDescent="0.2">
      <c r="A92">
        <v>105</v>
      </c>
      <c r="B92" s="4">
        <v>714215.12</v>
      </c>
      <c r="C92" s="9">
        <f>B92/12</f>
        <v>59517.926666666666</v>
      </c>
      <c r="D92" s="4">
        <v>54032.06</v>
      </c>
      <c r="E92" s="4">
        <v>4502.6716666666662</v>
      </c>
      <c r="F92" s="5">
        <v>29299</v>
      </c>
      <c r="G92" t="s">
        <v>136</v>
      </c>
      <c r="H92" t="s">
        <v>37</v>
      </c>
      <c r="I92" t="s">
        <v>157</v>
      </c>
      <c r="J92" t="s">
        <v>316</v>
      </c>
      <c r="K92" s="10">
        <f>F92/(Q92*174*12)</f>
        <v>4.454258675078858</v>
      </c>
      <c r="L92" s="3">
        <v>24.3767746339465</v>
      </c>
      <c r="M92" s="2">
        <v>0.78176432333160295</v>
      </c>
      <c r="N92" s="1">
        <v>0.19276819923371599</v>
      </c>
      <c r="O92" s="1">
        <v>1.28975095785441</v>
      </c>
      <c r="P92" s="1">
        <v>1.66774425287356</v>
      </c>
      <c r="Q92" s="19">
        <v>3.1502634099616902</v>
      </c>
      <c r="R92" s="1">
        <v>0.49173850574712602</v>
      </c>
      <c r="S92" s="16">
        <f>Q92+R92</f>
        <v>3.6420019157088164</v>
      </c>
      <c r="T92" s="1">
        <v>6.1542145593869703E-2</v>
      </c>
      <c r="U92" s="1">
        <v>2.1561804833812301</v>
      </c>
      <c r="V92" s="1">
        <v>0.99408292658045905</v>
      </c>
      <c r="W92" s="7">
        <v>0.89751278756563102</v>
      </c>
      <c r="X92" s="6">
        <f>IF(W92&lt;=-0.65,-1,IF(W92&gt;=0.65,ROUND(W92,0),0))</f>
        <v>1</v>
      </c>
    </row>
    <row r="93" spans="1:24" x14ac:dyDescent="0.2">
      <c r="A93">
        <v>106</v>
      </c>
      <c r="B93" s="4">
        <v>705965.3</v>
      </c>
      <c r="C93" s="9">
        <f>B93/12</f>
        <v>58830.441666666673</v>
      </c>
      <c r="D93" s="4">
        <v>40988.589999999997</v>
      </c>
      <c r="E93" s="4">
        <v>3415.7158333333332</v>
      </c>
      <c r="F93" s="5">
        <v>26417</v>
      </c>
      <c r="G93" t="s">
        <v>208</v>
      </c>
      <c r="H93" t="s">
        <v>25</v>
      </c>
      <c r="I93" t="s">
        <v>252</v>
      </c>
      <c r="J93" t="s">
        <v>328</v>
      </c>
      <c r="K93" s="10">
        <f>F93/(Q93*174*12)</f>
        <v>7.9713337356668896</v>
      </c>
      <c r="L93" s="3">
        <v>26.723901275693699</v>
      </c>
      <c r="M93" s="2">
        <v>0.830885583186596</v>
      </c>
      <c r="N93" s="1">
        <v>0.77634099616858199</v>
      </c>
      <c r="O93" s="1">
        <v>0.78472222222222199</v>
      </c>
      <c r="P93" s="1">
        <v>2.61015325670498E-2</v>
      </c>
      <c r="Q93" s="19">
        <v>1.5871647509578499</v>
      </c>
      <c r="R93" s="1">
        <v>0.31824712643678199</v>
      </c>
      <c r="S93" s="16">
        <f>Q93+R93</f>
        <v>1.905411877394632</v>
      </c>
      <c r="T93" s="1">
        <v>5.6513409961685801E-2</v>
      </c>
      <c r="U93" s="1">
        <v>1.7778312052681999</v>
      </c>
      <c r="V93" s="1">
        <v>-0.19066645431034501</v>
      </c>
      <c r="W93" s="7">
        <v>-0.138892793599113</v>
      </c>
      <c r="X93" s="6">
        <f>IF(W93&lt;=-0.65,-1,IF(W93&gt;=0.65,ROUND(W93,0),0))</f>
        <v>0</v>
      </c>
    </row>
    <row r="94" spans="1:24" x14ac:dyDescent="0.2">
      <c r="A94">
        <v>107</v>
      </c>
      <c r="B94" s="4">
        <v>1541020.42</v>
      </c>
      <c r="C94" s="9">
        <f>B94/12</f>
        <v>128418.36833333333</v>
      </c>
      <c r="D94" s="4">
        <v>111405.49</v>
      </c>
      <c r="E94" s="4">
        <v>9283.7908333333344</v>
      </c>
      <c r="F94" s="5">
        <v>86619</v>
      </c>
      <c r="G94" t="s">
        <v>18</v>
      </c>
      <c r="H94" t="s">
        <v>54</v>
      </c>
      <c r="I94" t="s">
        <v>85</v>
      </c>
      <c r="J94" t="s">
        <v>175</v>
      </c>
      <c r="K94" s="10">
        <f>F94/(Q94*174*12)</f>
        <v>6.6944122420588918</v>
      </c>
      <c r="L94" s="3">
        <v>17.7907897805331</v>
      </c>
      <c r="M94" s="2">
        <v>0.47380243021049701</v>
      </c>
      <c r="N94" s="1">
        <v>0.26963601532567</v>
      </c>
      <c r="O94" s="1">
        <v>3.2059386973180102</v>
      </c>
      <c r="P94" s="1">
        <v>2.7212643678160902</v>
      </c>
      <c r="Q94" s="19">
        <v>6.1968390804597702</v>
      </c>
      <c r="R94" s="1">
        <v>0.533524904214559</v>
      </c>
      <c r="S94" s="16">
        <f>Q94+R94</f>
        <v>6.7303639846743293</v>
      </c>
      <c r="T94" s="1">
        <v>2.2030651340996198E-2</v>
      </c>
      <c r="U94" s="1">
        <v>4.3625345115170049</v>
      </c>
      <c r="V94" s="1">
        <v>1.8343045689427599</v>
      </c>
      <c r="W94" s="7">
        <v>1.2043289528649801</v>
      </c>
      <c r="X94" s="6">
        <f>IF(W94&lt;=-0.65,-1,IF(W94&gt;=0.65,ROUND(W94,0),0))</f>
        <v>1</v>
      </c>
    </row>
    <row r="95" spans="1:24" x14ac:dyDescent="0.2">
      <c r="A95">
        <v>109</v>
      </c>
      <c r="B95" s="4">
        <v>603941.56000000006</v>
      </c>
      <c r="C95" s="9">
        <f>B95/12</f>
        <v>50328.46333333334</v>
      </c>
      <c r="D95" s="4">
        <v>44286.04</v>
      </c>
      <c r="E95" s="4">
        <v>3690.5033333333336</v>
      </c>
      <c r="F95" s="5">
        <v>30296</v>
      </c>
      <c r="G95" t="s">
        <v>208</v>
      </c>
      <c r="H95" t="s">
        <v>43</v>
      </c>
      <c r="I95" t="s">
        <v>246</v>
      </c>
      <c r="J95" t="s">
        <v>319</v>
      </c>
      <c r="K95" s="10">
        <f>F95/(Q95*174*12)</f>
        <v>7.4355135599460018</v>
      </c>
      <c r="L95" s="3">
        <v>19.934696329548501</v>
      </c>
      <c r="M95" s="2">
        <v>0.62193110207550595</v>
      </c>
      <c r="N95" s="1">
        <v>0.93797892720306497</v>
      </c>
      <c r="O95" s="1">
        <v>4.5977011494252901E-2</v>
      </c>
      <c r="P95" s="1">
        <v>0.96743295019157105</v>
      </c>
      <c r="Q95" s="19">
        <v>1.9513888888888899</v>
      </c>
      <c r="R95" s="1">
        <v>0.20138888888888901</v>
      </c>
      <c r="S95" s="16">
        <f>Q95+R95</f>
        <v>2.152777777777779</v>
      </c>
      <c r="T95" s="1">
        <v>0.21384099616858199</v>
      </c>
      <c r="U95" s="1">
        <v>2.0388830750957898</v>
      </c>
      <c r="V95" s="1">
        <v>-8.7494186206896502E-2</v>
      </c>
      <c r="W95" s="7">
        <v>0</v>
      </c>
      <c r="X95" s="6">
        <f>IF(W95&lt;=-0.65,-1,IF(W95&gt;=0.65,ROUND(W95,0),0))</f>
        <v>0</v>
      </c>
    </row>
    <row r="96" spans="1:24" x14ac:dyDescent="0.2">
      <c r="A96">
        <v>110</v>
      </c>
      <c r="B96" s="4">
        <v>467683.23</v>
      </c>
      <c r="C96" s="9">
        <f>B96/12</f>
        <v>38973.602500000001</v>
      </c>
      <c r="D96" s="4">
        <v>54370.34</v>
      </c>
      <c r="E96" s="4">
        <v>4530.8616666666667</v>
      </c>
      <c r="F96" s="5">
        <v>28543</v>
      </c>
      <c r="G96" t="s">
        <v>86</v>
      </c>
      <c r="H96" t="s">
        <v>40</v>
      </c>
      <c r="I96" t="s">
        <v>87</v>
      </c>
      <c r="J96" t="s">
        <v>311</v>
      </c>
      <c r="K96" s="10">
        <f>F96/(Q96*174*12)</f>
        <v>4.813727970317907</v>
      </c>
      <c r="L96" s="3">
        <v>16.385216340258602</v>
      </c>
      <c r="M96" s="2">
        <v>0.51983749770116805</v>
      </c>
      <c r="N96" s="1">
        <v>0.55004789272030596</v>
      </c>
      <c r="O96" s="1">
        <v>0.83716475095785403</v>
      </c>
      <c r="P96" s="1">
        <v>1.45258620689655</v>
      </c>
      <c r="Q96" s="19">
        <v>2.8397988505747098</v>
      </c>
      <c r="R96" s="1">
        <v>0.65110153256704995</v>
      </c>
      <c r="S96" s="16">
        <f>Q96+R96</f>
        <v>3.49090038314176</v>
      </c>
      <c r="T96" s="1">
        <v>1.24521072796935E-2</v>
      </c>
      <c r="U96" s="1">
        <v>2.1853845619118752</v>
      </c>
      <c r="V96" s="1">
        <v>0.65441428866283802</v>
      </c>
      <c r="W96" s="7">
        <v>0.339874116753347</v>
      </c>
      <c r="X96" s="6">
        <f>IF(W96&lt;=-0.65,-1,IF(W96&gt;=0.65,ROUND(W96,0),0))</f>
        <v>0</v>
      </c>
    </row>
    <row r="97" spans="1:24" x14ac:dyDescent="0.2">
      <c r="A97">
        <v>111</v>
      </c>
      <c r="B97" s="4">
        <v>669128.77</v>
      </c>
      <c r="C97" s="9">
        <f>B97/12</f>
        <v>55760.730833333335</v>
      </c>
      <c r="D97" s="4">
        <v>59240.06</v>
      </c>
      <c r="E97" s="4">
        <v>4936.6716666666662</v>
      </c>
      <c r="F97" s="5">
        <v>33728</v>
      </c>
      <c r="G97" t="s">
        <v>270</v>
      </c>
      <c r="H97" t="s">
        <v>33</v>
      </c>
      <c r="I97" t="s">
        <v>294</v>
      </c>
      <c r="J97" t="s">
        <v>343</v>
      </c>
      <c r="K97" s="10">
        <f>F97/(Q97*174*12)</f>
        <v>7.7696383321815148</v>
      </c>
      <c r="L97" s="3">
        <v>19.838969698766601</v>
      </c>
      <c r="M97" s="2">
        <v>0.62436204917627403</v>
      </c>
      <c r="N97" s="1">
        <v>0.41163793103448298</v>
      </c>
      <c r="O97" s="1">
        <v>1.30340038314176</v>
      </c>
      <c r="P97" s="1">
        <v>0.36398467432950199</v>
      </c>
      <c r="Q97" s="19">
        <v>2.0790229885057498</v>
      </c>
      <c r="R97" s="1">
        <v>0.4272030651341</v>
      </c>
      <c r="S97" s="16">
        <f>Q97+R97</f>
        <v>2.5062260536398497</v>
      </c>
      <c r="T97" s="1">
        <v>0.16858237547892699</v>
      </c>
      <c r="U97" s="1">
        <v>2.3954278191570899</v>
      </c>
      <c r="V97" s="1">
        <v>-0.31640483065134101</v>
      </c>
      <c r="W97" s="7">
        <v>-0.16190157814358799</v>
      </c>
      <c r="X97" s="6">
        <f>IF(W97&lt;=-0.65,-1,IF(W97&gt;=0.65,ROUND(W97,0),0))</f>
        <v>0</v>
      </c>
    </row>
    <row r="98" spans="1:24" x14ac:dyDescent="0.2">
      <c r="A98">
        <v>112</v>
      </c>
      <c r="B98" s="4">
        <v>1035639.05</v>
      </c>
      <c r="C98" s="9">
        <f>B98/12</f>
        <v>86303.254166666666</v>
      </c>
      <c r="D98" s="4">
        <v>66891.399999999994</v>
      </c>
      <c r="E98" s="4">
        <v>5574.2833333333328</v>
      </c>
      <c r="F98" s="5">
        <v>36054</v>
      </c>
      <c r="G98" t="s">
        <v>208</v>
      </c>
      <c r="H98" t="s">
        <v>27</v>
      </c>
      <c r="I98" t="s">
        <v>214</v>
      </c>
      <c r="J98" t="s">
        <v>315</v>
      </c>
      <c r="K98" s="10">
        <f>F98/(Q98*174*12)</f>
        <v>5.369573311490063</v>
      </c>
      <c r="L98" s="3">
        <v>28.724664392300401</v>
      </c>
      <c r="M98" s="2">
        <v>0.77648593880271299</v>
      </c>
      <c r="N98" s="1">
        <v>0.84195402298850597</v>
      </c>
      <c r="O98" s="1">
        <v>1.55579501915709</v>
      </c>
      <c r="P98" s="1">
        <v>0.81800766283524895</v>
      </c>
      <c r="Q98" s="19">
        <v>3.2157567049808402</v>
      </c>
      <c r="R98" s="1">
        <v>0.82183908045977005</v>
      </c>
      <c r="S98" s="16">
        <f>Q98+R98</f>
        <v>4.0375957854406099</v>
      </c>
      <c r="T98" s="1">
        <v>3.1848659003831402E-2</v>
      </c>
      <c r="U98" s="1">
        <v>2.4263893051724099</v>
      </c>
      <c r="V98" s="1">
        <v>0.78936739980842896</v>
      </c>
      <c r="W98" s="7">
        <v>0.38177187249182398</v>
      </c>
      <c r="X98" s="6">
        <f>IF(W98&lt;=-0.65,-1,IF(W98&gt;=0.65,ROUND(W98,0),0))</f>
        <v>0</v>
      </c>
    </row>
    <row r="99" spans="1:24" x14ac:dyDescent="0.2">
      <c r="A99">
        <v>113</v>
      </c>
      <c r="B99" s="4">
        <v>684821.3</v>
      </c>
      <c r="C99" s="9">
        <f>B99/12</f>
        <v>57068.441666666673</v>
      </c>
      <c r="D99" s="4">
        <v>46667.65</v>
      </c>
      <c r="E99" s="4">
        <v>3888.9708333333333</v>
      </c>
      <c r="F99" s="5">
        <v>35190</v>
      </c>
      <c r="G99" t="s">
        <v>270</v>
      </c>
      <c r="H99" t="s">
        <v>40</v>
      </c>
      <c r="I99" t="s">
        <v>298</v>
      </c>
      <c r="J99" t="s">
        <v>317</v>
      </c>
      <c r="K99" s="10">
        <f>F99/(Q99*174*12)</f>
        <v>7.930140845070432</v>
      </c>
      <c r="L99" s="3">
        <v>19.4606791702188</v>
      </c>
      <c r="M99" s="2">
        <v>0.62835135238930195</v>
      </c>
      <c r="N99" s="1">
        <v>0.60632183908046</v>
      </c>
      <c r="O99" s="1">
        <v>0.59746168582375503</v>
      </c>
      <c r="P99" s="1">
        <v>0.92145593869731801</v>
      </c>
      <c r="Q99" s="19">
        <v>2.1252394636015302</v>
      </c>
      <c r="R99" s="1">
        <v>0.35368773946360099</v>
      </c>
      <c r="S99" s="16">
        <f>Q99+R99</f>
        <v>2.478927203065131</v>
      </c>
      <c r="T99" s="1">
        <v>0.2397030651341</v>
      </c>
      <c r="U99" s="1">
        <v>2.4992618879310302</v>
      </c>
      <c r="V99" s="1">
        <v>-0.374022424329502</v>
      </c>
      <c r="W99" s="7">
        <v>-0.213967307285298</v>
      </c>
      <c r="X99" s="6">
        <f>IF(W99&lt;=-0.65,-1,IF(W99&gt;=0.65,ROUND(W99,0),0))</f>
        <v>0</v>
      </c>
    </row>
    <row r="100" spans="1:24" x14ac:dyDescent="0.2">
      <c r="A100">
        <v>126</v>
      </c>
      <c r="B100" s="4">
        <v>948419.72</v>
      </c>
      <c r="C100" s="9">
        <f>B100/12</f>
        <v>79034.976666666669</v>
      </c>
      <c r="D100" s="4">
        <v>74468.320000000007</v>
      </c>
      <c r="E100" s="4">
        <v>6205.6933333333336</v>
      </c>
      <c r="F100" s="5">
        <v>48467</v>
      </c>
      <c r="G100" t="s">
        <v>208</v>
      </c>
      <c r="H100" t="s">
        <v>33</v>
      </c>
      <c r="I100" t="s">
        <v>228</v>
      </c>
      <c r="J100" t="s">
        <v>309</v>
      </c>
      <c r="K100" s="10">
        <f>F100/(Q100*174*12)</f>
        <v>6.2606729961893617</v>
      </c>
      <c r="L100" s="3">
        <v>19.5683603276456</v>
      </c>
      <c r="M100" s="2">
        <v>0.59366295125116098</v>
      </c>
      <c r="N100" s="1">
        <v>0.77801724137931005</v>
      </c>
      <c r="O100" s="1">
        <v>1.15469348659004</v>
      </c>
      <c r="P100" s="1">
        <v>1.7749042145593901</v>
      </c>
      <c r="Q100" s="19">
        <v>3.7076149425287399</v>
      </c>
      <c r="R100" s="1">
        <v>0.59578544061302696</v>
      </c>
      <c r="S100" s="16">
        <f>Q100+R100</f>
        <v>4.3034003831417671</v>
      </c>
      <c r="T100" s="1">
        <v>0.24904214559387</v>
      </c>
      <c r="U100" s="1">
        <v>3.26176874837165</v>
      </c>
      <c r="V100" s="1">
        <v>0.44584619415708798</v>
      </c>
      <c r="W100" s="7">
        <v>0.38928051868318397</v>
      </c>
      <c r="X100" s="6">
        <f>IF(W100&lt;=-0.65,-1,IF(W100&gt;=0.65,ROUND(W100,0),0))</f>
        <v>0</v>
      </c>
    </row>
    <row r="101" spans="1:24" x14ac:dyDescent="0.2">
      <c r="A101">
        <v>127</v>
      </c>
      <c r="B101" s="4">
        <v>1078621.3500000001</v>
      </c>
      <c r="C101" s="9">
        <f>B101/12</f>
        <v>89885.112500000003</v>
      </c>
      <c r="D101" s="4">
        <v>69369.41</v>
      </c>
      <c r="E101" s="4">
        <v>5780.7841666666673</v>
      </c>
      <c r="F101" s="5">
        <v>61705</v>
      </c>
      <c r="G101" t="s">
        <v>270</v>
      </c>
      <c r="H101" t="s">
        <v>43</v>
      </c>
      <c r="I101" t="s">
        <v>305</v>
      </c>
      <c r="J101" t="s">
        <v>319</v>
      </c>
      <c r="K101" s="10">
        <f>F101/(Q101*174*12)</f>
        <v>8.3812693130496871</v>
      </c>
      <c r="L101" s="3">
        <v>17.480290900251202</v>
      </c>
      <c r="M101" s="2">
        <v>0.57566117155014596</v>
      </c>
      <c r="N101" s="1">
        <v>0.86494252873563204</v>
      </c>
      <c r="O101" s="1">
        <v>1.3311781609195401</v>
      </c>
      <c r="P101" s="1">
        <v>1.3298611111111101</v>
      </c>
      <c r="Q101" s="19">
        <v>3.5259818007662802</v>
      </c>
      <c r="R101" s="1">
        <v>1.17899904214559</v>
      </c>
      <c r="S101" s="16">
        <f>Q101+R101</f>
        <v>4.70498084291187</v>
      </c>
      <c r="T101" s="1">
        <v>0.36829501915708801</v>
      </c>
      <c r="U101" s="1">
        <v>4.3824084909003798</v>
      </c>
      <c r="V101" s="1">
        <v>-0.8564266901341</v>
      </c>
      <c r="W101" s="7">
        <v>-0.63883963895420803</v>
      </c>
      <c r="X101" s="6">
        <f>IF(W101&lt;=-0.65,-1,IF(W101&gt;=0.65,ROUND(W101,0),0))</f>
        <v>0</v>
      </c>
    </row>
    <row r="102" spans="1:24" x14ac:dyDescent="0.2">
      <c r="A102">
        <v>129</v>
      </c>
      <c r="B102" s="4">
        <v>2936957.55</v>
      </c>
      <c r="C102" s="9">
        <f>B102/12</f>
        <v>244746.46249999999</v>
      </c>
      <c r="D102" s="4">
        <v>64762.81</v>
      </c>
      <c r="E102" s="4">
        <v>5396.9008333333331</v>
      </c>
      <c r="F102" s="5">
        <v>25229</v>
      </c>
      <c r="G102" t="s">
        <v>136</v>
      </c>
      <c r="H102" t="s">
        <v>49</v>
      </c>
      <c r="I102" t="s">
        <v>158</v>
      </c>
      <c r="J102" t="s">
        <v>329</v>
      </c>
      <c r="K102" s="10">
        <f>F102/(Q102*174*12)</f>
        <v>3.827795478683051</v>
      </c>
      <c r="L102" s="3">
        <v>116.411968369733</v>
      </c>
      <c r="M102" s="2">
        <v>0.91569119546859001</v>
      </c>
      <c r="N102" s="1">
        <v>0.71934865900383105</v>
      </c>
      <c r="O102" s="1">
        <v>0.77155172413793105</v>
      </c>
      <c r="P102" s="1">
        <v>1.6657088122605399</v>
      </c>
      <c r="Q102" s="19">
        <v>3.1566091954023001</v>
      </c>
      <c r="R102" s="1">
        <v>0.48323754789272</v>
      </c>
      <c r="S102" s="16">
        <f>Q102+R102</f>
        <v>3.6398467432950201</v>
      </c>
      <c r="T102" s="1">
        <v>1.36494252873563E-2</v>
      </c>
      <c r="U102" s="1">
        <v>1.8566598660440601</v>
      </c>
      <c r="V102" s="1">
        <v>1.29994932935824</v>
      </c>
      <c r="W102" s="7">
        <v>0</v>
      </c>
      <c r="X102" s="6">
        <f>IF(W102&lt;=-0.65,-1,IF(W102&gt;=0.65,ROUND(W102,0),0))</f>
        <v>0</v>
      </c>
    </row>
    <row r="103" spans="1:24" x14ac:dyDescent="0.2">
      <c r="A103">
        <v>130</v>
      </c>
      <c r="B103" s="4">
        <v>371006.43</v>
      </c>
      <c r="C103" s="9">
        <f>B103/12</f>
        <v>30917.202499999999</v>
      </c>
      <c r="D103" s="4">
        <v>40295.15</v>
      </c>
      <c r="E103" s="4">
        <v>3357.9291666666668</v>
      </c>
      <c r="F103" s="5">
        <v>20927</v>
      </c>
      <c r="G103" t="s">
        <v>208</v>
      </c>
      <c r="H103" t="s">
        <v>23</v>
      </c>
      <c r="I103" t="s">
        <v>224</v>
      </c>
      <c r="J103" t="s">
        <v>316</v>
      </c>
      <c r="K103" s="10">
        <f>F103/(Q103*174*12)</f>
        <v>5.1863692688971392</v>
      </c>
      <c r="L103" s="3">
        <v>17.728600850575798</v>
      </c>
      <c r="M103" s="2">
        <v>0.60777402159849403</v>
      </c>
      <c r="N103" s="1">
        <v>0.77310823754789304</v>
      </c>
      <c r="O103" s="1">
        <v>0.40074233716475099</v>
      </c>
      <c r="P103" s="1">
        <v>0.75862068965517204</v>
      </c>
      <c r="Q103" s="19">
        <v>1.9324712643678199</v>
      </c>
      <c r="R103" s="1">
        <v>0.58680555555555602</v>
      </c>
      <c r="S103" s="16">
        <f>Q103+R103</f>
        <v>2.5192768199233759</v>
      </c>
      <c r="T103" s="1">
        <v>0.30112547892720298</v>
      </c>
      <c r="U103" s="1">
        <v>1.4083610414751</v>
      </c>
      <c r="V103" s="1">
        <v>0.52411022289272002</v>
      </c>
      <c r="W103" s="7">
        <v>0.50368739740212898</v>
      </c>
      <c r="X103" s="6">
        <f>IF(W103&lt;=-0.65,-1,IF(W103&gt;=0.65,ROUND(W103,0),0))</f>
        <v>0</v>
      </c>
    </row>
    <row r="104" spans="1:24" x14ac:dyDescent="0.2">
      <c r="A104">
        <v>131</v>
      </c>
      <c r="B104" s="4">
        <v>1385152.83</v>
      </c>
      <c r="C104" s="9">
        <f>B104/12</f>
        <v>115429.40250000001</v>
      </c>
      <c r="D104" s="4">
        <v>80483.520000000004</v>
      </c>
      <c r="E104" s="4">
        <v>6706.96</v>
      </c>
      <c r="F104" s="5">
        <v>60096</v>
      </c>
      <c r="G104" t="s">
        <v>208</v>
      </c>
      <c r="H104" t="s">
        <v>37</v>
      </c>
      <c r="I104" t="s">
        <v>254</v>
      </c>
      <c r="J104" t="s">
        <v>377</v>
      </c>
      <c r="K104" s="10">
        <f>F104/(Q104*174*12)</f>
        <v>7.5859631406210601</v>
      </c>
      <c r="L104" s="3">
        <v>23.049002096645399</v>
      </c>
      <c r="M104" s="2">
        <v>0.74666557913324305</v>
      </c>
      <c r="N104" s="1">
        <v>0.80387931034482796</v>
      </c>
      <c r="O104" s="1">
        <v>1.48946360153257</v>
      </c>
      <c r="P104" s="1">
        <v>1.5007183908046</v>
      </c>
      <c r="Q104" s="19">
        <v>3.7940613026819898</v>
      </c>
      <c r="R104" s="1">
        <v>0.87859195402298895</v>
      </c>
      <c r="S104" s="16">
        <f>Q104+R104</f>
        <v>4.6726532567049786</v>
      </c>
      <c r="T104" s="1">
        <v>9.6503831417624503E-2</v>
      </c>
      <c r="U104" s="1">
        <v>4.0443859678160896</v>
      </c>
      <c r="V104" s="1">
        <v>-0.25032466513410001</v>
      </c>
      <c r="W104" s="7">
        <v>-9.7949432945586001E-2</v>
      </c>
      <c r="X104" s="6">
        <f>IF(W104&lt;=-0.65,-1,IF(W104&gt;=0.65,ROUND(W104,0),0))</f>
        <v>0</v>
      </c>
    </row>
    <row r="105" spans="1:24" x14ac:dyDescent="0.2">
      <c r="A105">
        <v>132</v>
      </c>
      <c r="B105" s="4">
        <v>1238275.0900000001</v>
      </c>
      <c r="C105" s="9">
        <f>B105/12</f>
        <v>103189.59083333334</v>
      </c>
      <c r="D105" s="4">
        <v>78542.42</v>
      </c>
      <c r="E105" s="4">
        <v>6545.2016666666668</v>
      </c>
      <c r="F105" s="5">
        <v>56481</v>
      </c>
      <c r="G105" t="s">
        <v>270</v>
      </c>
      <c r="H105" t="s">
        <v>33</v>
      </c>
      <c r="I105" t="s">
        <v>293</v>
      </c>
      <c r="J105" t="s">
        <v>384</v>
      </c>
      <c r="K105" s="10">
        <f>F105/(Q105*174*12)</f>
        <v>7.2249440358170682</v>
      </c>
      <c r="L105" s="3">
        <v>21.9237458614401</v>
      </c>
      <c r="M105" s="2">
        <v>0.65249257335863897</v>
      </c>
      <c r="N105" s="1">
        <v>0.73251915708812299</v>
      </c>
      <c r="O105" s="1">
        <v>1.5287356321839101</v>
      </c>
      <c r="P105" s="1">
        <v>1.4827586206896599</v>
      </c>
      <c r="Q105" s="19">
        <v>3.7440134099616902</v>
      </c>
      <c r="R105" s="1">
        <v>0.88697318007662795</v>
      </c>
      <c r="S105" s="16">
        <f>Q105+R105</f>
        <v>4.6309865900383178</v>
      </c>
      <c r="T105" s="1" t="s">
        <v>388</v>
      </c>
      <c r="U105" s="1">
        <v>4.0113899031609197</v>
      </c>
      <c r="V105" s="1">
        <v>-0.26737649319923301</v>
      </c>
      <c r="W105" s="7">
        <v>-0.114128520640005</v>
      </c>
      <c r="X105" s="6">
        <f>IF(W105&lt;=-0.65,-1,IF(W105&gt;=0.65,ROUND(W105,0),0))</f>
        <v>0</v>
      </c>
    </row>
    <row r="106" spans="1:24" x14ac:dyDescent="0.2">
      <c r="A106">
        <v>134</v>
      </c>
      <c r="B106" s="4">
        <v>447896.08</v>
      </c>
      <c r="C106" s="9">
        <f>B106/12</f>
        <v>37324.673333333332</v>
      </c>
      <c r="D106" s="4">
        <v>36540.449999999997</v>
      </c>
      <c r="E106" s="4">
        <v>3045.0374999999999</v>
      </c>
      <c r="F106" s="5">
        <v>21966</v>
      </c>
      <c r="G106" t="s">
        <v>270</v>
      </c>
      <c r="H106" t="s">
        <v>27</v>
      </c>
      <c r="I106" t="s">
        <v>280</v>
      </c>
      <c r="J106" t="s">
        <v>314</v>
      </c>
      <c r="K106" s="10">
        <f>F106/(Q106*174*12)</f>
        <v>5.7706554577696139</v>
      </c>
      <c r="L106" s="3">
        <v>20.390425202585799</v>
      </c>
      <c r="M106" s="2">
        <v>0.69675907857912001</v>
      </c>
      <c r="N106" s="1">
        <v>0.58477011494252895</v>
      </c>
      <c r="O106" s="1">
        <v>0.39104406130268199</v>
      </c>
      <c r="P106" s="1">
        <v>0.84722222222222199</v>
      </c>
      <c r="Q106" s="19">
        <v>1.82303639846743</v>
      </c>
      <c r="R106" s="1">
        <v>0.51149425287356298</v>
      </c>
      <c r="S106" s="16">
        <f>Q106+R106</f>
        <v>2.3345306513409931</v>
      </c>
      <c r="T106" s="1">
        <v>0.23227969348659</v>
      </c>
      <c r="U106" s="1">
        <v>1.5600678212643699</v>
      </c>
      <c r="V106" s="1">
        <v>0.26296857720306499</v>
      </c>
      <c r="W106" s="7">
        <v>8.1504250738472603E-2</v>
      </c>
      <c r="X106" s="6">
        <f>IF(W106&lt;=-0.65,-1,IF(W106&gt;=0.65,ROUND(W106,0),0))</f>
        <v>0</v>
      </c>
    </row>
    <row r="107" spans="1:24" x14ac:dyDescent="0.2">
      <c r="A107">
        <v>135</v>
      </c>
      <c r="B107" s="4">
        <v>617803.66</v>
      </c>
      <c r="C107" s="9">
        <f>B107/12</f>
        <v>51483.638333333336</v>
      </c>
      <c r="D107" s="4">
        <v>46050.66</v>
      </c>
      <c r="E107" s="4">
        <v>3837.5550000000003</v>
      </c>
      <c r="F107" s="5">
        <v>28256</v>
      </c>
      <c r="G107" t="s">
        <v>270</v>
      </c>
      <c r="H107" t="s">
        <v>43</v>
      </c>
      <c r="I107" t="s">
        <v>279</v>
      </c>
      <c r="J107" t="s">
        <v>279</v>
      </c>
      <c r="K107" s="10">
        <f>F107/(Q107*174*12)</f>
        <v>6.1546504029623188</v>
      </c>
      <c r="L107" s="3">
        <v>21.864512315968302</v>
      </c>
      <c r="M107" s="2">
        <v>0.73742233900006304</v>
      </c>
      <c r="N107" s="1">
        <v>0.80507662835249005</v>
      </c>
      <c r="O107" s="1">
        <v>0.54070881226053602</v>
      </c>
      <c r="P107" s="1">
        <v>0.85296934865900398</v>
      </c>
      <c r="Q107" s="19">
        <v>2.1987547892720301</v>
      </c>
      <c r="R107" s="1">
        <v>0.36302681992337199</v>
      </c>
      <c r="S107" s="16">
        <f>Q107+R107</f>
        <v>2.561781609195402</v>
      </c>
      <c r="T107" s="1">
        <v>0.194444444444444</v>
      </c>
      <c r="U107" s="1">
        <v>2.0067957915708798</v>
      </c>
      <c r="V107" s="1">
        <v>0.19195899770114899</v>
      </c>
      <c r="W107" s="7">
        <v>0</v>
      </c>
      <c r="X107" s="6">
        <f>IF(W107&lt;=-0.65,-1,IF(W107&gt;=0.65,ROUND(W107,0),0))</f>
        <v>0</v>
      </c>
    </row>
    <row r="108" spans="1:24" x14ac:dyDescent="0.2">
      <c r="A108">
        <v>136</v>
      </c>
      <c r="B108" s="4">
        <v>1718307.54</v>
      </c>
      <c r="C108" s="9">
        <f>B108/12</f>
        <v>143192.29500000001</v>
      </c>
      <c r="D108" s="4">
        <v>87072.93</v>
      </c>
      <c r="E108" s="4">
        <v>7256.0774999999994</v>
      </c>
      <c r="F108" s="5">
        <v>65842</v>
      </c>
      <c r="G108" t="s">
        <v>136</v>
      </c>
      <c r="H108" t="s">
        <v>37</v>
      </c>
      <c r="I108" t="s">
        <v>159</v>
      </c>
      <c r="J108" t="s">
        <v>336</v>
      </c>
      <c r="K108" s="10">
        <f>F108/(Q108*174*12)</f>
        <v>7.1978136102760386</v>
      </c>
      <c r="L108" s="3">
        <v>26.097438413170899</v>
      </c>
      <c r="M108" s="2">
        <v>0.79460801295209305</v>
      </c>
      <c r="N108" s="1">
        <v>0.86805555555555602</v>
      </c>
      <c r="O108" s="1">
        <v>1.90852490421456</v>
      </c>
      <c r="P108" s="1">
        <v>1.6044061302682</v>
      </c>
      <c r="Q108" s="19">
        <v>4.3809865900383098</v>
      </c>
      <c r="R108" s="1">
        <v>1.20569923371648</v>
      </c>
      <c r="S108" s="16">
        <f>Q108+R108</f>
        <v>5.5866858237547898</v>
      </c>
      <c r="T108" s="1">
        <v>1.2212643678160899E-2</v>
      </c>
      <c r="U108" s="1">
        <v>4.84546351024904</v>
      </c>
      <c r="V108" s="1">
        <v>-0.46447692021072801</v>
      </c>
      <c r="W108" s="7">
        <v>-0.303875869465695</v>
      </c>
      <c r="X108" s="6">
        <f>IF(W108&lt;=-0.65,-1,IF(W108&gt;=0.65,ROUND(W108,0),0))</f>
        <v>0</v>
      </c>
    </row>
    <row r="109" spans="1:24" x14ac:dyDescent="0.2">
      <c r="A109">
        <v>138</v>
      </c>
      <c r="B109" s="4">
        <v>869843.62</v>
      </c>
      <c r="C109" s="9">
        <f>B109/12</f>
        <v>72486.968333333338</v>
      </c>
      <c r="D109" s="4">
        <v>60139.09</v>
      </c>
      <c r="E109" s="4">
        <v>5011.5908333333327</v>
      </c>
      <c r="F109" s="5">
        <v>41965</v>
      </c>
      <c r="G109" t="s">
        <v>136</v>
      </c>
      <c r="H109" t="s">
        <v>61</v>
      </c>
      <c r="I109" t="s">
        <v>160</v>
      </c>
      <c r="J109" t="s">
        <v>355</v>
      </c>
      <c r="K109" s="10">
        <f>F109/(Q109*174*12)</f>
        <v>7.654354765161874</v>
      </c>
      <c r="L109" s="3">
        <v>20.727835577266799</v>
      </c>
      <c r="M109" s="2">
        <v>0.71425594867270503</v>
      </c>
      <c r="N109" s="1">
        <v>0.88194444444444497</v>
      </c>
      <c r="O109" s="1">
        <v>0.90277777777777801</v>
      </c>
      <c r="P109" s="1">
        <v>0.84099616858237602</v>
      </c>
      <c r="Q109" s="19">
        <v>2.6257183908045998</v>
      </c>
      <c r="R109" s="1">
        <v>0.327346743295019</v>
      </c>
      <c r="S109" s="16">
        <f>Q109+R109</f>
        <v>2.953065134099619</v>
      </c>
      <c r="T109" s="1">
        <v>0.109434865900383</v>
      </c>
      <c r="U109" s="1">
        <v>3.0883004193007699</v>
      </c>
      <c r="V109" s="1">
        <v>-0.46258202849616897</v>
      </c>
      <c r="W109" s="7">
        <v>-0.227437637249081</v>
      </c>
      <c r="X109" s="6">
        <f>IF(W109&lt;=-0.65,-1,IF(W109&gt;=0.65,ROUND(W109,0),0))</f>
        <v>0</v>
      </c>
    </row>
    <row r="110" spans="1:24" x14ac:dyDescent="0.2">
      <c r="A110">
        <v>141</v>
      </c>
      <c r="B110" s="4">
        <v>1347444.84</v>
      </c>
      <c r="C110" s="9">
        <f>B110/12</f>
        <v>112287.07</v>
      </c>
      <c r="D110" s="4">
        <v>102002.68</v>
      </c>
      <c r="E110" s="4">
        <v>8500.2233333333334</v>
      </c>
      <c r="F110" s="5">
        <v>102959</v>
      </c>
      <c r="G110" t="s">
        <v>18</v>
      </c>
      <c r="H110" t="s">
        <v>43</v>
      </c>
      <c r="I110" t="s">
        <v>88</v>
      </c>
      <c r="J110" t="s">
        <v>322</v>
      </c>
      <c r="K110" s="10">
        <f>F110/(Q110*174*12)</f>
        <v>10.417788121015885</v>
      </c>
      <c r="L110" s="3">
        <v>13.0871982051108</v>
      </c>
      <c r="M110" s="2">
        <v>0.40004015303513302</v>
      </c>
      <c r="N110" s="1">
        <v>0.75167624521072796</v>
      </c>
      <c r="O110" s="1">
        <v>1.62667624521073</v>
      </c>
      <c r="P110" s="1">
        <v>2.3548850574712601</v>
      </c>
      <c r="Q110" s="19">
        <v>4.7332375478927204</v>
      </c>
      <c r="R110" s="1">
        <v>1.02681992337165</v>
      </c>
      <c r="S110" s="16">
        <f>Q110+R110</f>
        <v>5.7600574712643704</v>
      </c>
      <c r="T110" s="1">
        <v>0.38481800766283503</v>
      </c>
      <c r="U110" s="1">
        <v>5.0337521166013204</v>
      </c>
      <c r="V110" s="1">
        <v>-0.30051456870859999</v>
      </c>
      <c r="W110" s="7">
        <v>0</v>
      </c>
      <c r="X110" s="6">
        <f>IF(W110&lt;=-0.65,-1,IF(W110&gt;=0.65,ROUND(W110,0),0))</f>
        <v>0</v>
      </c>
    </row>
    <row r="111" spans="1:24" x14ac:dyDescent="0.2">
      <c r="A111">
        <v>143</v>
      </c>
      <c r="B111" s="4">
        <v>1234302.8999999999</v>
      </c>
      <c r="C111" s="9">
        <f>B111/12</f>
        <v>102858.575</v>
      </c>
      <c r="D111" s="4">
        <v>83146.929999999993</v>
      </c>
      <c r="E111" s="4">
        <v>6928.9108333333324</v>
      </c>
      <c r="F111" s="5">
        <v>97737</v>
      </c>
      <c r="G111" t="s">
        <v>18</v>
      </c>
      <c r="H111" t="s">
        <v>25</v>
      </c>
      <c r="I111" t="s">
        <v>89</v>
      </c>
      <c r="J111" t="s">
        <v>335</v>
      </c>
      <c r="K111" s="10">
        <f>F111/(Q111*174*12)</f>
        <v>9.833685481436758</v>
      </c>
      <c r="L111" s="3">
        <v>12.6288191779981</v>
      </c>
      <c r="M111" s="2">
        <v>0.41744391915468998</v>
      </c>
      <c r="N111" s="1">
        <v>0.71240421455938696</v>
      </c>
      <c r="O111" s="1">
        <v>1.7013888888888899</v>
      </c>
      <c r="P111" s="1">
        <v>2.3462643678160902</v>
      </c>
      <c r="Q111" s="19">
        <v>4.7600574712643704</v>
      </c>
      <c r="R111" s="1">
        <v>0.51317049808429105</v>
      </c>
      <c r="S111" s="16">
        <f>Q111+R111</f>
        <v>5.2732279693486612</v>
      </c>
      <c r="T111" s="1">
        <v>3.83141762452107E-3</v>
      </c>
      <c r="U111" s="1">
        <v>4.8159745518523405</v>
      </c>
      <c r="V111" s="1">
        <v>-5.5917080587970999E-2</v>
      </c>
      <c r="W111" s="7">
        <v>0.208953272803067</v>
      </c>
      <c r="X111" s="6">
        <f>IF(W111&lt;=-0.65,-1,IF(W111&gt;=0.65,ROUND(W111,0),0))</f>
        <v>0</v>
      </c>
    </row>
    <row r="112" spans="1:24" x14ac:dyDescent="0.2">
      <c r="A112">
        <v>144</v>
      </c>
      <c r="B112" s="4">
        <v>3326201.53</v>
      </c>
      <c r="C112" s="9">
        <f>B112/12</f>
        <v>277183.46083333332</v>
      </c>
      <c r="D112" s="4">
        <v>144370.41</v>
      </c>
      <c r="E112" s="4">
        <v>12030.8675</v>
      </c>
      <c r="F112" s="5">
        <v>91314</v>
      </c>
      <c r="G112" t="s">
        <v>136</v>
      </c>
      <c r="H112" t="s">
        <v>35</v>
      </c>
      <c r="I112" t="s">
        <v>161</v>
      </c>
      <c r="J112" t="s">
        <v>347</v>
      </c>
      <c r="K112" s="10">
        <f>F112/(Q112*174*12)</f>
        <v>6.4292050975146084</v>
      </c>
      <c r="L112" s="3">
        <v>36.4259755349673</v>
      </c>
      <c r="M112" s="2">
        <v>0.83229201388768503</v>
      </c>
      <c r="N112" s="1">
        <v>0.62859195402298895</v>
      </c>
      <c r="O112" s="1">
        <v>3.71192528735632</v>
      </c>
      <c r="P112" s="1">
        <v>2.4616858237547898</v>
      </c>
      <c r="Q112" s="19">
        <v>6.8022030651341003</v>
      </c>
      <c r="R112" s="1">
        <v>2.8275862068965498</v>
      </c>
      <c r="S112" s="16">
        <f>Q112+R112</f>
        <v>9.6297892720306493</v>
      </c>
      <c r="T112" s="1">
        <v>0.14343869731800801</v>
      </c>
      <c r="U112" s="1">
        <v>6.72000630258621</v>
      </c>
      <c r="V112" s="1">
        <v>8.2196762547892099E-2</v>
      </c>
      <c r="W112" s="7">
        <v>0</v>
      </c>
      <c r="X112" s="6">
        <f>IF(W112&lt;=-0.65,-1,IF(W112&gt;=0.65,ROUND(W112,0),0))</f>
        <v>0</v>
      </c>
    </row>
    <row r="113" spans="1:24" x14ac:dyDescent="0.2">
      <c r="A113">
        <v>145</v>
      </c>
      <c r="B113" s="4">
        <v>1564466</v>
      </c>
      <c r="C113" s="9">
        <f>B113/12</f>
        <v>130372.16666666667</v>
      </c>
      <c r="D113" s="4">
        <v>111133.51</v>
      </c>
      <c r="E113" s="4">
        <v>9261.1258333333335</v>
      </c>
      <c r="F113" s="5">
        <v>87463</v>
      </c>
      <c r="G113" t="s">
        <v>18</v>
      </c>
      <c r="H113" t="s">
        <v>54</v>
      </c>
      <c r="I113" t="s">
        <v>90</v>
      </c>
      <c r="J113" t="s">
        <v>175</v>
      </c>
      <c r="K113" s="10">
        <f>F113/(Q113*174*12)</f>
        <v>8.3949704851946034</v>
      </c>
      <c r="L113" s="3">
        <v>17.887175148348401</v>
      </c>
      <c r="M113" s="2">
        <v>0.43353220843405998</v>
      </c>
      <c r="N113" s="1">
        <v>0.74209770114942497</v>
      </c>
      <c r="O113" s="1">
        <v>1.8852969348659001</v>
      </c>
      <c r="P113" s="1">
        <v>2.3623084291187699</v>
      </c>
      <c r="Q113" s="19">
        <v>4.9897030651341003</v>
      </c>
      <c r="R113" s="1">
        <v>0.70043103448275901</v>
      </c>
      <c r="S113" s="16">
        <f>Q113+R113</f>
        <v>5.6901340996168592</v>
      </c>
      <c r="T113" s="1">
        <v>0.43702107279693497</v>
      </c>
      <c r="U113" s="1">
        <v>4.3964856955609148</v>
      </c>
      <c r="V113" s="1">
        <v>0.59321736957318405</v>
      </c>
      <c r="W113" s="7">
        <v>0</v>
      </c>
      <c r="X113" s="6">
        <f>IF(W113&lt;=-0.65,-1,IF(W113&gt;=0.65,ROUND(W113,0),0))</f>
        <v>0</v>
      </c>
    </row>
    <row r="114" spans="1:24" x14ac:dyDescent="0.2">
      <c r="A114">
        <v>146</v>
      </c>
      <c r="B114" s="4">
        <v>1659595.11</v>
      </c>
      <c r="C114" s="9">
        <f>B114/12</f>
        <v>138299.5925</v>
      </c>
      <c r="D114" s="4">
        <v>108006.77</v>
      </c>
      <c r="E114" s="4">
        <v>9000.564166666667</v>
      </c>
      <c r="F114" s="5">
        <v>109304</v>
      </c>
      <c r="G114" t="s">
        <v>18</v>
      </c>
      <c r="H114" t="s">
        <v>31</v>
      </c>
      <c r="I114" t="s">
        <v>91</v>
      </c>
      <c r="J114" t="s">
        <v>175</v>
      </c>
      <c r="K114" s="10">
        <f>F114/(Q114*174*12)</f>
        <v>9.6252201479394213</v>
      </c>
      <c r="L114" s="3">
        <v>15.183297134597099</v>
      </c>
      <c r="M114" s="2">
        <v>0.40837023796725902</v>
      </c>
      <c r="N114" s="1">
        <v>0.93151340996168597</v>
      </c>
      <c r="O114" s="1">
        <v>1.8077107279693501</v>
      </c>
      <c r="P114" s="1">
        <v>2.6994731800766298</v>
      </c>
      <c r="Q114" s="19">
        <v>5.4386973180076597</v>
      </c>
      <c r="R114" s="1">
        <v>0.68007662835249005</v>
      </c>
      <c r="S114" s="16">
        <f>Q114+R114</f>
        <v>6.1187739463601494</v>
      </c>
      <c r="T114" s="1">
        <v>0.15014367816092</v>
      </c>
      <c r="U114" s="1">
        <v>5.3027146951397892</v>
      </c>
      <c r="V114" s="1">
        <v>0.13598262286787299</v>
      </c>
      <c r="W114" s="7">
        <v>4.78959208788294E-2</v>
      </c>
      <c r="X114" s="6">
        <f>IF(W114&lt;=-0.65,-1,IF(W114&gt;=0.65,ROUND(W114,0),0))</f>
        <v>0</v>
      </c>
    </row>
    <row r="115" spans="1:24" x14ac:dyDescent="0.2">
      <c r="A115">
        <v>149</v>
      </c>
      <c r="B115" s="4">
        <v>1531248.54</v>
      </c>
      <c r="C115" s="9">
        <f>B115/12</f>
        <v>127604.045</v>
      </c>
      <c r="D115" s="4">
        <v>82369.429999999993</v>
      </c>
      <c r="E115" s="4">
        <v>6864.1191666666664</v>
      </c>
      <c r="F115" s="5">
        <v>107758</v>
      </c>
      <c r="G115" t="s">
        <v>18</v>
      </c>
      <c r="H115" t="s">
        <v>25</v>
      </c>
      <c r="I115" t="s">
        <v>92</v>
      </c>
      <c r="J115" t="s">
        <v>348</v>
      </c>
      <c r="K115" s="10">
        <f>F115/(Q115*174*12)</f>
        <v>12.151330626973385</v>
      </c>
      <c r="L115" s="3">
        <v>14.210068301193401</v>
      </c>
      <c r="M115" s="2">
        <v>0.50307314578729301</v>
      </c>
      <c r="N115" s="1">
        <v>0.81944444444444497</v>
      </c>
      <c r="O115" s="1">
        <v>1.7258141762452099</v>
      </c>
      <c r="P115" s="1">
        <v>1.70186781609195</v>
      </c>
      <c r="Q115" s="19">
        <v>4.2471264367816097</v>
      </c>
      <c r="R115" s="1">
        <v>0.61302681992337205</v>
      </c>
      <c r="S115" s="16">
        <f>Q115+R115</f>
        <v>4.8601532567049821</v>
      </c>
      <c r="T115" s="1">
        <v>3.9750957854406098E-2</v>
      </c>
      <c r="U115" s="1">
        <v>5.2367300838207154</v>
      </c>
      <c r="V115" s="1">
        <v>-0.98960364703910897</v>
      </c>
      <c r="W115" s="7">
        <v>-0.58908746979658</v>
      </c>
      <c r="X115" s="6">
        <f>IF(W115&lt;=-0.65,-1,IF(W115&gt;=0.65,ROUND(W115,0),0))</f>
        <v>0</v>
      </c>
    </row>
    <row r="116" spans="1:24" x14ac:dyDescent="0.2">
      <c r="A116" s="11">
        <v>151</v>
      </c>
      <c r="B116" s="9">
        <v>2128079.25</v>
      </c>
      <c r="C116" s="9">
        <f>B116/12</f>
        <v>177339.9375</v>
      </c>
      <c r="D116" s="9">
        <v>138802.53</v>
      </c>
      <c r="E116" s="4">
        <v>11566.877500000001</v>
      </c>
      <c r="F116" s="12">
        <v>131889</v>
      </c>
      <c r="G116" s="11" t="s">
        <v>86</v>
      </c>
      <c r="H116" s="11" t="s">
        <v>54</v>
      </c>
      <c r="I116" s="11" t="s">
        <v>93</v>
      </c>
      <c r="J116" s="11" t="s">
        <v>175</v>
      </c>
      <c r="K116" s="13">
        <f>F116/(Q116*174*12)</f>
        <v>9.524046793760828</v>
      </c>
      <c r="L116" s="14">
        <v>16.135380888474401</v>
      </c>
      <c r="M116" s="15">
        <v>0.27070178894888403</v>
      </c>
      <c r="N116" s="16">
        <v>0.75814176245210696</v>
      </c>
      <c r="O116" s="16">
        <v>2.5117337164751001</v>
      </c>
      <c r="P116" s="16">
        <v>3.3623084291187699</v>
      </c>
      <c r="Q116" s="20">
        <v>6.6321839080459801</v>
      </c>
      <c r="R116" s="16">
        <v>0.931034482758621</v>
      </c>
      <c r="S116" s="16">
        <f>Q116+R116</f>
        <v>7.5632183908046011</v>
      </c>
      <c r="T116" s="16">
        <v>9.1475095785440594E-2</v>
      </c>
      <c r="U116" s="16">
        <v>6.3020363346450203</v>
      </c>
      <c r="V116" s="16">
        <v>0.33014757340095702</v>
      </c>
      <c r="W116" s="17">
        <v>6.6821179863552793E-2</v>
      </c>
      <c r="X116" s="6">
        <f>IF(W116&lt;=-0.65,-1,IF(W116&gt;=0.65,ROUND(W116,0),0))</f>
        <v>0</v>
      </c>
    </row>
    <row r="117" spans="1:24" x14ac:dyDescent="0.2">
      <c r="A117">
        <v>159</v>
      </c>
      <c r="B117" s="4">
        <v>461217.7</v>
      </c>
      <c r="C117" s="9">
        <f>B117/12</f>
        <v>38434.808333333334</v>
      </c>
      <c r="D117" s="4">
        <v>46477.68</v>
      </c>
      <c r="E117" s="4">
        <v>3873.14</v>
      </c>
      <c r="F117" s="5">
        <v>27485</v>
      </c>
      <c r="G117" t="s">
        <v>270</v>
      </c>
      <c r="H117" t="s">
        <v>54</v>
      </c>
      <c r="I117" t="s">
        <v>277</v>
      </c>
      <c r="J117" t="s">
        <v>175</v>
      </c>
      <c r="K117" s="10">
        <f>F117/(Q117*174*12)</f>
        <v>5.6051799734883136</v>
      </c>
      <c r="L117" s="3">
        <v>16.780705839548801</v>
      </c>
      <c r="M117" s="2">
        <v>0.53253431080377001</v>
      </c>
      <c r="N117" s="1">
        <v>0.81561302681992298</v>
      </c>
      <c r="O117" s="1">
        <v>0.77346743295019205</v>
      </c>
      <c r="P117" s="1">
        <v>0.75933908045977005</v>
      </c>
      <c r="Q117" s="19">
        <v>2.34841954022989</v>
      </c>
      <c r="R117" s="1">
        <v>1.0823754789272</v>
      </c>
      <c r="S117" s="16">
        <f>Q117+R117</f>
        <v>3.43079501915709</v>
      </c>
      <c r="T117" s="1">
        <v>9.1954022988505704E-2</v>
      </c>
      <c r="U117" s="1">
        <v>1.9520378797892699</v>
      </c>
      <c r="V117" s="1">
        <v>0.39638166044061302</v>
      </c>
      <c r="W117" s="7">
        <v>0.24101931098569501</v>
      </c>
      <c r="X117" s="6">
        <f>IF(W117&lt;=-0.65,-1,IF(W117&gt;=0.65,ROUND(W117,0),0))</f>
        <v>0</v>
      </c>
    </row>
    <row r="118" spans="1:24" x14ac:dyDescent="0.2">
      <c r="A118">
        <v>161</v>
      </c>
      <c r="B118" s="4">
        <v>905694.84</v>
      </c>
      <c r="C118" s="9">
        <f>B118/12</f>
        <v>75474.569999999992</v>
      </c>
      <c r="D118" s="4">
        <v>74187.72</v>
      </c>
      <c r="E118" s="4">
        <v>6182.31</v>
      </c>
      <c r="F118" s="5">
        <v>60085</v>
      </c>
      <c r="G118" t="s">
        <v>18</v>
      </c>
      <c r="H118" t="s">
        <v>54</v>
      </c>
      <c r="I118" t="s">
        <v>94</v>
      </c>
      <c r="J118" t="s">
        <v>175</v>
      </c>
      <c r="K118" s="10">
        <f>F118/(Q118*174*12)</f>
        <v>7.3151727286562069</v>
      </c>
      <c r="L118" s="3">
        <v>15.0735597902971</v>
      </c>
      <c r="M118" s="2">
        <v>0.40744010421876797</v>
      </c>
      <c r="N118" s="1">
        <v>0.13649425287356301</v>
      </c>
      <c r="O118" s="1">
        <v>1.9027777777777799</v>
      </c>
      <c r="P118" s="1">
        <v>1.8945162835249001</v>
      </c>
      <c r="Q118" s="19">
        <v>3.9337883141762502</v>
      </c>
      <c r="R118" s="1">
        <v>0.46455938697318</v>
      </c>
      <c r="S118" s="16">
        <f>Q118+R118</f>
        <v>4.3983477011494303</v>
      </c>
      <c r="T118" s="1">
        <v>0.37583812260536398</v>
      </c>
      <c r="U118" s="1">
        <v>3.331351091716455</v>
      </c>
      <c r="V118" s="1">
        <v>0.60243722245978804</v>
      </c>
      <c r="W118" s="7">
        <v>0.53245921253355299</v>
      </c>
      <c r="X118" s="6">
        <f>IF(W118&lt;=-0.65,-1,IF(W118&gt;=0.65,ROUND(W118,0),0))</f>
        <v>0</v>
      </c>
    </row>
    <row r="119" spans="1:24" x14ac:dyDescent="0.2">
      <c r="A119">
        <v>162</v>
      </c>
      <c r="B119" s="4">
        <v>1556934</v>
      </c>
      <c r="C119" s="9">
        <f>B119/12</f>
        <v>129744.5</v>
      </c>
      <c r="D119" s="4">
        <v>91212.33</v>
      </c>
      <c r="E119" s="4">
        <v>7601.0275000000001</v>
      </c>
      <c r="F119" s="5">
        <v>101242</v>
      </c>
      <c r="G119" t="s">
        <v>18</v>
      </c>
      <c r="H119" t="s">
        <v>25</v>
      </c>
      <c r="I119" t="s">
        <v>95</v>
      </c>
      <c r="J119" t="s">
        <v>328</v>
      </c>
      <c r="K119" s="10">
        <f>F119/(Q119*174*12)</f>
        <v>11.363376171502336</v>
      </c>
      <c r="L119" s="3">
        <v>15.378341004721401</v>
      </c>
      <c r="M119" s="2">
        <v>0.52907109100321503</v>
      </c>
      <c r="N119" s="1">
        <v>0.87332375478927204</v>
      </c>
      <c r="O119" s="1">
        <v>1.6755268199233699</v>
      </c>
      <c r="P119" s="1">
        <v>1.71815134099617</v>
      </c>
      <c r="Q119" s="19">
        <v>4.2670019157088097</v>
      </c>
      <c r="R119" s="1">
        <v>1.07471264367816</v>
      </c>
      <c r="S119" s="16">
        <f>Q119+R119</f>
        <v>5.3417145593869702</v>
      </c>
      <c r="T119" s="1">
        <v>0.136733716475096</v>
      </c>
      <c r="U119" s="1">
        <v>4.96179637801366</v>
      </c>
      <c r="V119" s="1">
        <v>-0.69479446230484498</v>
      </c>
      <c r="W119" s="7">
        <v>-0.53812220291281898</v>
      </c>
      <c r="X119" s="6">
        <f>IF(W119&lt;=-0.65,-1,IF(W119&gt;=0.65,ROUND(W119,0),0))</f>
        <v>0</v>
      </c>
    </row>
    <row r="120" spans="1:24" x14ac:dyDescent="0.2">
      <c r="A120">
        <v>163</v>
      </c>
      <c r="B120" s="4">
        <v>1463999.96</v>
      </c>
      <c r="C120" s="9">
        <f>B120/12</f>
        <v>121999.99666666666</v>
      </c>
      <c r="D120" s="4">
        <v>101673.37</v>
      </c>
      <c r="E120" s="4">
        <v>8472.7808333333323</v>
      </c>
      <c r="F120" s="5">
        <v>96810</v>
      </c>
      <c r="G120" t="s">
        <v>18</v>
      </c>
      <c r="H120" t="s">
        <v>37</v>
      </c>
      <c r="I120" t="s">
        <v>96</v>
      </c>
      <c r="J120" t="s">
        <v>336</v>
      </c>
      <c r="K120" s="10">
        <f>F120/(Q120*174*12)</f>
        <v>9.2437696934975637</v>
      </c>
      <c r="L120" s="3">
        <v>15.122404297076701</v>
      </c>
      <c r="M120" s="2">
        <v>0.48005201448229601</v>
      </c>
      <c r="N120" s="1">
        <v>0.85991379310344795</v>
      </c>
      <c r="O120" s="1">
        <v>1.6755268199233699</v>
      </c>
      <c r="P120" s="1">
        <v>2.4803639846743302</v>
      </c>
      <c r="Q120" s="19">
        <v>5.0158045977011501</v>
      </c>
      <c r="R120" s="1">
        <v>0.95545977011494299</v>
      </c>
      <c r="S120" s="16">
        <f>Q120+R120</f>
        <v>5.9712643678160928</v>
      </c>
      <c r="T120" s="1">
        <v>0.18486590038314199</v>
      </c>
      <c r="U120" s="1">
        <v>4.77764340733117</v>
      </c>
      <c r="V120" s="1">
        <v>0.23816119036998101</v>
      </c>
      <c r="W120" s="7">
        <v>0.16017321307670199</v>
      </c>
      <c r="X120" s="6">
        <f>IF(W120&lt;=-0.65,-1,IF(W120&gt;=0.65,ROUND(W120,0),0))</f>
        <v>0</v>
      </c>
    </row>
    <row r="121" spans="1:24" x14ac:dyDescent="0.2">
      <c r="A121">
        <v>164</v>
      </c>
      <c r="B121" s="4">
        <v>1555586</v>
      </c>
      <c r="C121" s="9">
        <f>B121/12</f>
        <v>129632.16666666667</v>
      </c>
      <c r="D121" s="4">
        <v>82185.94</v>
      </c>
      <c r="E121" s="4">
        <v>6848.8283333333338</v>
      </c>
      <c r="F121" s="5">
        <v>58981</v>
      </c>
      <c r="G121" t="s">
        <v>136</v>
      </c>
      <c r="H121" t="s">
        <v>25</v>
      </c>
      <c r="I121" t="s">
        <v>162</v>
      </c>
      <c r="J121" t="s">
        <v>320</v>
      </c>
      <c r="K121" s="10">
        <f>F121/(Q121*174*12)</f>
        <v>6.7098205398026138</v>
      </c>
      <c r="L121" s="3">
        <v>26.374357844051499</v>
      </c>
      <c r="M121" s="2">
        <v>0.81101939719179805</v>
      </c>
      <c r="N121" s="1">
        <v>0.82207854406130298</v>
      </c>
      <c r="O121" s="1">
        <v>1.6633141762452099</v>
      </c>
      <c r="P121" s="1">
        <v>1.7244971264367801</v>
      </c>
      <c r="Q121" s="19">
        <v>4.2098898467432999</v>
      </c>
      <c r="R121" s="1">
        <v>0.58584770114942497</v>
      </c>
      <c r="S121" s="16">
        <f>Q121+R121</f>
        <v>4.7957375478927249</v>
      </c>
      <c r="T121" s="1">
        <v>1.89176245210728E-2</v>
      </c>
      <c r="U121" s="1">
        <v>4.3405468135536402</v>
      </c>
      <c r="V121" s="1">
        <v>-0.130656966810345</v>
      </c>
      <c r="W121" s="7">
        <v>0</v>
      </c>
      <c r="X121" s="6">
        <f>IF(W121&lt;=-0.65,-1,IF(W121&gt;=0.65,ROUND(W121,0),0))</f>
        <v>0</v>
      </c>
    </row>
    <row r="122" spans="1:24" x14ac:dyDescent="0.2">
      <c r="A122">
        <v>174</v>
      </c>
      <c r="B122" s="4">
        <v>1634289.45</v>
      </c>
      <c r="C122" s="9">
        <f>B122/12</f>
        <v>136190.78750000001</v>
      </c>
      <c r="D122" s="4">
        <v>105443.99</v>
      </c>
      <c r="E122" s="4">
        <v>8786.9991666666665</v>
      </c>
      <c r="F122" s="5">
        <v>106008</v>
      </c>
      <c r="G122" t="s">
        <v>18</v>
      </c>
      <c r="H122" t="s">
        <v>37</v>
      </c>
      <c r="I122" t="s">
        <v>97</v>
      </c>
      <c r="J122" t="s">
        <v>316</v>
      </c>
      <c r="K122" s="10">
        <f>F122/(Q122*174*12)</f>
        <v>9.7613259668508228</v>
      </c>
      <c r="L122" s="3">
        <v>15.416661478379</v>
      </c>
      <c r="M122" s="2">
        <v>0.48726530664442602</v>
      </c>
      <c r="N122" s="1">
        <v>0.85272988505747105</v>
      </c>
      <c r="O122" s="1">
        <v>1.78352490421456</v>
      </c>
      <c r="P122" s="1">
        <v>2.56489463601533</v>
      </c>
      <c r="Q122" s="19">
        <v>5.20114942528736</v>
      </c>
      <c r="R122" s="1">
        <v>0.74521072796934895</v>
      </c>
      <c r="S122" s="16">
        <f>Q122+R122</f>
        <v>5.946360153256709</v>
      </c>
      <c r="T122" s="1">
        <v>6.6331417624521105E-2</v>
      </c>
      <c r="U122" s="1">
        <v>5.1623910008523097</v>
      </c>
      <c r="V122" s="1">
        <v>3.8758424435047602E-2</v>
      </c>
      <c r="W122" s="7">
        <v>0</v>
      </c>
      <c r="X122" s="6">
        <f>IF(W122&lt;=-0.65,-1,IF(W122&gt;=0.65,ROUND(W122,0),0))</f>
        <v>0</v>
      </c>
    </row>
    <row r="123" spans="1:24" s="8" customFormat="1" x14ac:dyDescent="0.2">
      <c r="A123">
        <v>175</v>
      </c>
      <c r="B123" s="4">
        <v>1185947.44</v>
      </c>
      <c r="C123" s="9">
        <f>B123/12</f>
        <v>98828.953333333324</v>
      </c>
      <c r="D123" s="4">
        <v>99445.26</v>
      </c>
      <c r="E123" s="4">
        <v>8287.1049999999996</v>
      </c>
      <c r="F123" s="5">
        <v>88691</v>
      </c>
      <c r="G123" t="s">
        <v>18</v>
      </c>
      <c r="H123" t="s">
        <v>98</v>
      </c>
      <c r="I123" t="s">
        <v>99</v>
      </c>
      <c r="J123" t="s">
        <v>227</v>
      </c>
      <c r="K123" s="10">
        <f>F123/(Q123*174*12)</f>
        <v>8.8682131786821259</v>
      </c>
      <c r="L123" s="3">
        <v>13.3716773968046</v>
      </c>
      <c r="M123" s="2">
        <v>0.415668067043511</v>
      </c>
      <c r="N123" s="1">
        <v>0.67983716475095801</v>
      </c>
      <c r="O123" s="1">
        <v>1.3287835249042099</v>
      </c>
      <c r="P123" s="1">
        <v>2.78113026819923</v>
      </c>
      <c r="Q123" s="19">
        <v>4.7897509578544097</v>
      </c>
      <c r="R123" s="1">
        <v>1.1676245210728</v>
      </c>
      <c r="S123" s="16">
        <f>Q123+R123</f>
        <v>5.9573754789272098</v>
      </c>
      <c r="T123" s="1">
        <v>0.38242337164751</v>
      </c>
      <c r="U123" s="1">
        <v>4.4460191310988799</v>
      </c>
      <c r="V123" s="1">
        <v>0.34373182675552699</v>
      </c>
      <c r="W123" s="7">
        <v>0.51586413622657801</v>
      </c>
      <c r="X123" s="6">
        <f>IF(W123&lt;=-0.65,-1,IF(W123&gt;=0.65,ROUND(W123,0),0))</f>
        <v>0</v>
      </c>
    </row>
    <row r="124" spans="1:24" x14ac:dyDescent="0.2">
      <c r="A124">
        <v>176</v>
      </c>
      <c r="B124" s="4">
        <v>458800.24</v>
      </c>
      <c r="C124" s="9">
        <f>B124/12</f>
        <v>38233.353333333333</v>
      </c>
      <c r="D124" s="4">
        <v>45539.87</v>
      </c>
      <c r="E124" s="4">
        <v>3794.9891666666667</v>
      </c>
      <c r="F124" s="5">
        <v>20613</v>
      </c>
      <c r="G124" t="s">
        <v>208</v>
      </c>
      <c r="H124" t="s">
        <v>23</v>
      </c>
      <c r="I124" t="s">
        <v>222</v>
      </c>
      <c r="J124" t="s">
        <v>222</v>
      </c>
      <c r="K124" s="10">
        <f>F124/(Q124*174*12)</f>
        <v>5.1180633147113523</v>
      </c>
      <c r="L124" s="3">
        <v>22.257810119827301</v>
      </c>
      <c r="M124" s="2">
        <v>0.74616255649735497</v>
      </c>
      <c r="N124" s="1">
        <v>0.85033524904214597</v>
      </c>
      <c r="O124" s="1">
        <v>1.04022988505747</v>
      </c>
      <c r="P124" s="1">
        <v>3.8314176245210697E-2</v>
      </c>
      <c r="Q124" s="19">
        <v>1.9288793103448301</v>
      </c>
      <c r="R124" s="1">
        <v>0.241139846743295</v>
      </c>
      <c r="S124" s="16">
        <f>Q124+R124</f>
        <v>2.1700191570881251</v>
      </c>
      <c r="T124" s="1">
        <v>0.29885057471264398</v>
      </c>
      <c r="U124" s="1">
        <v>1.3872292324712601</v>
      </c>
      <c r="V124" s="1">
        <v>0.54165007787356301</v>
      </c>
      <c r="W124" s="7">
        <v>0.41441114079735403</v>
      </c>
      <c r="X124" s="6">
        <f>IF(W124&lt;=-0.65,-1,IF(W124&gt;=0.65,ROUND(W124,0),0))</f>
        <v>0</v>
      </c>
    </row>
    <row r="125" spans="1:24" x14ac:dyDescent="0.2">
      <c r="A125">
        <v>177</v>
      </c>
      <c r="B125" s="4">
        <v>2614515.11</v>
      </c>
      <c r="C125" s="9">
        <f>B125/12</f>
        <v>217876.25916666666</v>
      </c>
      <c r="D125" s="4">
        <v>139653.01999999999</v>
      </c>
      <c r="E125" s="4">
        <v>11637.751666666665</v>
      </c>
      <c r="F125" s="5">
        <v>155649</v>
      </c>
      <c r="G125" t="s">
        <v>18</v>
      </c>
      <c r="H125" t="s">
        <v>40</v>
      </c>
      <c r="I125" t="s">
        <v>100</v>
      </c>
      <c r="J125" t="s">
        <v>349</v>
      </c>
      <c r="K125" s="10">
        <f>F125/(Q125*174*12)</f>
        <v>11.075461628775752</v>
      </c>
      <c r="L125" s="3">
        <v>16.797506633515201</v>
      </c>
      <c r="M125" s="2">
        <v>0.49975505018213501</v>
      </c>
      <c r="N125" s="1">
        <v>0.79645593869731801</v>
      </c>
      <c r="O125" s="1">
        <v>2.7435344827586201</v>
      </c>
      <c r="P125" s="1">
        <v>3.19061302681992</v>
      </c>
      <c r="Q125" s="19">
        <v>6.7306034482758603</v>
      </c>
      <c r="R125" s="1">
        <v>1.1453544061302701</v>
      </c>
      <c r="S125" s="16">
        <f>Q125+R125</f>
        <v>7.8759578544061304</v>
      </c>
      <c r="T125" s="1">
        <v>0.17911877394636</v>
      </c>
      <c r="U125" s="1">
        <v>7.4332866712629748</v>
      </c>
      <c r="V125" s="1">
        <v>-0.70268322298711205</v>
      </c>
      <c r="W125" s="7">
        <v>-0.78104862545336795</v>
      </c>
      <c r="X125" s="6">
        <f>IF(W125&lt;=-0.65,-1,IF(W125&gt;=0.65,ROUND(W125,0),0))</f>
        <v>-1</v>
      </c>
    </row>
    <row r="126" spans="1:24" x14ac:dyDescent="0.2">
      <c r="A126">
        <v>178</v>
      </c>
      <c r="B126" s="4">
        <v>1600858.13</v>
      </c>
      <c r="C126" s="9">
        <f>B126/12</f>
        <v>133404.84416666665</v>
      </c>
      <c r="D126" s="4">
        <v>104748.63</v>
      </c>
      <c r="E126" s="4">
        <v>8729.0524999999998</v>
      </c>
      <c r="F126" s="5">
        <v>116283</v>
      </c>
      <c r="G126" t="s">
        <v>18</v>
      </c>
      <c r="H126" t="s">
        <v>37</v>
      </c>
      <c r="I126" t="s">
        <v>101</v>
      </c>
      <c r="J126" t="s">
        <v>336</v>
      </c>
      <c r="K126" s="10">
        <f>F126/(Q126*174*12)</f>
        <v>10.94840410507485</v>
      </c>
      <c r="L126" s="3">
        <v>13.7669145962866</v>
      </c>
      <c r="M126" s="2">
        <v>0.53141597875384505</v>
      </c>
      <c r="N126" s="1">
        <v>0.81082375478927204</v>
      </c>
      <c r="O126" s="1">
        <v>2.8050766283524902</v>
      </c>
      <c r="P126" s="1">
        <v>1.4707854406130301</v>
      </c>
      <c r="Q126" s="19">
        <v>5.0866858237547898</v>
      </c>
      <c r="R126" s="1">
        <v>0.82375478927203105</v>
      </c>
      <c r="S126" s="16">
        <f>Q126+R126</f>
        <v>5.9104406130268208</v>
      </c>
      <c r="T126" s="1">
        <v>0.95354406130268199</v>
      </c>
      <c r="U126" s="1">
        <v>5.6043071171159404</v>
      </c>
      <c r="V126" s="1">
        <v>-0.51762129336115004</v>
      </c>
      <c r="W126" s="7">
        <v>-1.6194328945404499E-2</v>
      </c>
      <c r="X126" s="6">
        <f>IF(W126&lt;=-0.65,-1,IF(W126&gt;=0.65,ROUND(W126,0),0))</f>
        <v>0</v>
      </c>
    </row>
    <row r="127" spans="1:24" x14ac:dyDescent="0.2">
      <c r="A127">
        <v>180</v>
      </c>
      <c r="B127" s="4">
        <v>698122.52</v>
      </c>
      <c r="C127" s="9">
        <f>B127/12</f>
        <v>58176.876666666671</v>
      </c>
      <c r="D127" s="4">
        <v>54064.25</v>
      </c>
      <c r="E127" s="4">
        <v>4505.354166666667</v>
      </c>
      <c r="F127" s="5">
        <v>35636</v>
      </c>
      <c r="G127" t="s">
        <v>136</v>
      </c>
      <c r="H127" t="s">
        <v>61</v>
      </c>
      <c r="I127" t="s">
        <v>163</v>
      </c>
      <c r="J127" t="s">
        <v>163</v>
      </c>
      <c r="K127" s="10">
        <f>F127/(Q127*174*12)</f>
        <v>8.2672543788423649</v>
      </c>
      <c r="L127" s="3">
        <v>19.590372656863799</v>
      </c>
      <c r="M127" s="2">
        <v>0.62732583100169903</v>
      </c>
      <c r="N127" s="1">
        <v>0.89679118773946398</v>
      </c>
      <c r="O127" s="1">
        <v>0.78065134099616895</v>
      </c>
      <c r="P127" s="1">
        <v>0.38697318007662801</v>
      </c>
      <c r="Q127" s="19">
        <v>2.0644157088122599</v>
      </c>
      <c r="R127" s="1">
        <v>0.206657088122605</v>
      </c>
      <c r="S127" s="16">
        <f>Q127+R127</f>
        <v>2.271072796934865</v>
      </c>
      <c r="T127" s="1">
        <v>0.71719348659003801</v>
      </c>
      <c r="U127" s="1">
        <v>2.6225348204980801</v>
      </c>
      <c r="V127" s="1">
        <v>-0.55811911168582395</v>
      </c>
      <c r="W127" s="7">
        <v>-0.305097611059584</v>
      </c>
      <c r="X127" s="6">
        <f>IF(W127&lt;=-0.65,-1,IF(W127&gt;=0.65,ROUND(W127,0),0))</f>
        <v>0</v>
      </c>
    </row>
    <row r="128" spans="1:24" x14ac:dyDescent="0.2">
      <c r="A128">
        <v>181</v>
      </c>
      <c r="B128" s="4">
        <v>762719.72</v>
      </c>
      <c r="C128" s="9">
        <f>B128/12</f>
        <v>63559.976666666662</v>
      </c>
      <c r="D128" s="4">
        <v>56554.82</v>
      </c>
      <c r="E128" s="4">
        <v>4712.9016666666666</v>
      </c>
      <c r="F128" s="5">
        <v>29917</v>
      </c>
      <c r="G128" t="s">
        <v>208</v>
      </c>
      <c r="H128" t="s">
        <v>19</v>
      </c>
      <c r="I128" t="s">
        <v>237</v>
      </c>
      <c r="J128" t="s">
        <v>237</v>
      </c>
      <c r="K128" s="10">
        <f>F128/(Q128*174*12)</f>
        <v>6.6726887476301959</v>
      </c>
      <c r="L128" s="3">
        <v>25.494525520606999</v>
      </c>
      <c r="M128" s="2">
        <v>0.74962195811588594</v>
      </c>
      <c r="N128" s="1">
        <v>0.27442528735632199</v>
      </c>
      <c r="O128" s="1">
        <v>0.97054597701149403</v>
      </c>
      <c r="P128" s="1">
        <v>0.90229885057471304</v>
      </c>
      <c r="Q128" s="19">
        <v>2.14727011494253</v>
      </c>
      <c r="R128" s="1">
        <v>0.69875478927203105</v>
      </c>
      <c r="S128" s="16">
        <f>Q128+R128</f>
        <v>2.8460249042145609</v>
      </c>
      <c r="T128" s="1">
        <v>0.46671455938697298</v>
      </c>
      <c r="U128" s="1">
        <v>2.0133768470306501</v>
      </c>
      <c r="V128" s="1">
        <v>0.133893267911877</v>
      </c>
      <c r="W128" s="7">
        <v>0</v>
      </c>
      <c r="X128" s="6">
        <f>IF(W128&lt;=-0.65,-1,IF(W128&gt;=0.65,ROUND(W128,0),0))</f>
        <v>0</v>
      </c>
    </row>
    <row r="129" spans="1:24" x14ac:dyDescent="0.2">
      <c r="A129">
        <v>182</v>
      </c>
      <c r="B129" s="4">
        <v>937960.45</v>
      </c>
      <c r="C129" s="9">
        <f>B129/12</f>
        <v>78163.370833333334</v>
      </c>
      <c r="D129" s="4">
        <v>51829.8</v>
      </c>
      <c r="E129" s="4">
        <v>4319.1500000000005</v>
      </c>
      <c r="F129" s="5">
        <v>31731</v>
      </c>
      <c r="G129" t="s">
        <v>136</v>
      </c>
      <c r="H129" t="s">
        <v>21</v>
      </c>
      <c r="I129" t="s">
        <v>164</v>
      </c>
      <c r="J129" t="s">
        <v>178</v>
      </c>
      <c r="K129" s="10">
        <f>F129/(Q129*174*12)</f>
        <v>6.3948004836759251</v>
      </c>
      <c r="L129" s="3">
        <v>29.559750716964501</v>
      </c>
      <c r="M129" s="2">
        <v>0.82332691106538702</v>
      </c>
      <c r="N129" s="1">
        <v>0.70545977011494199</v>
      </c>
      <c r="O129" s="1">
        <v>0.80292145593869702</v>
      </c>
      <c r="P129" s="1">
        <v>0.86805555555555602</v>
      </c>
      <c r="Q129" s="19">
        <v>2.3764367816092</v>
      </c>
      <c r="R129" s="1">
        <v>0.42528735632183901</v>
      </c>
      <c r="S129" s="16">
        <f>Q129+R129</f>
        <v>2.8017241379310391</v>
      </c>
      <c r="T129" s="1">
        <v>2.82567049808429E-2</v>
      </c>
      <c r="U129" s="1">
        <v>2.3351569308908</v>
      </c>
      <c r="V129" s="1">
        <v>4.1279850718390701E-2</v>
      </c>
      <c r="W129" s="7">
        <v>0</v>
      </c>
      <c r="X129" s="6">
        <f>IF(W129&lt;=-0.65,-1,IF(W129&gt;=0.65,ROUND(W129,0),0))</f>
        <v>0</v>
      </c>
    </row>
    <row r="130" spans="1:24" x14ac:dyDescent="0.2">
      <c r="A130">
        <v>183</v>
      </c>
      <c r="B130" s="4">
        <v>1299868.83</v>
      </c>
      <c r="C130" s="9">
        <f>B130/12</f>
        <v>108322.40250000001</v>
      </c>
      <c r="D130" s="4">
        <v>67703.490000000005</v>
      </c>
      <c r="E130" s="4">
        <v>5641.9575000000004</v>
      </c>
      <c r="F130" s="5">
        <v>39636</v>
      </c>
      <c r="G130" t="s">
        <v>208</v>
      </c>
      <c r="H130" t="s">
        <v>33</v>
      </c>
      <c r="I130" t="s">
        <v>235</v>
      </c>
      <c r="J130" t="s">
        <v>235</v>
      </c>
      <c r="K130" s="10">
        <f>F130/(Q130*174*12)</f>
        <v>7.3311754369740054</v>
      </c>
      <c r="L130" s="3">
        <v>32.795156675749297</v>
      </c>
      <c r="M130" s="2">
        <v>0.73482348984397095</v>
      </c>
      <c r="N130" s="1">
        <v>0.81561302681992298</v>
      </c>
      <c r="O130" s="1">
        <v>0.87954980842911901</v>
      </c>
      <c r="P130" s="1">
        <v>0.89415708812260497</v>
      </c>
      <c r="Q130" s="19">
        <v>2.58931992337165</v>
      </c>
      <c r="R130" s="1">
        <v>0.46384099616858199</v>
      </c>
      <c r="S130" s="16">
        <f>Q130+R130</f>
        <v>3.0531609195402321</v>
      </c>
      <c r="T130" s="1">
        <v>6.4176245210727997E-2</v>
      </c>
      <c r="U130" s="1">
        <v>2.6674534448275899</v>
      </c>
      <c r="V130" s="1">
        <v>-7.8133521455939103E-2</v>
      </c>
      <c r="W130" s="7">
        <v>-0.124017881388056</v>
      </c>
      <c r="X130" s="6">
        <f>IF(W130&lt;=-0.65,-1,IF(W130&gt;=0.65,ROUND(W130,0),0))</f>
        <v>0</v>
      </c>
    </row>
    <row r="131" spans="1:24" x14ac:dyDescent="0.2">
      <c r="A131">
        <v>184</v>
      </c>
      <c r="B131" s="4">
        <v>633615.66</v>
      </c>
      <c r="C131" s="9">
        <f>B131/12</f>
        <v>52801.305</v>
      </c>
      <c r="D131" s="4">
        <v>58556.1</v>
      </c>
      <c r="E131" s="4">
        <v>4879.6750000000002</v>
      </c>
      <c r="F131" s="5">
        <v>43576</v>
      </c>
      <c r="G131" t="s">
        <v>18</v>
      </c>
      <c r="H131" t="s">
        <v>43</v>
      </c>
      <c r="I131" t="s">
        <v>102</v>
      </c>
      <c r="J131" t="s">
        <v>319</v>
      </c>
      <c r="K131" s="10">
        <f>F131/(Q131*174*12)</f>
        <v>6.8359871362459739</v>
      </c>
      <c r="L131" s="3">
        <v>14.5404731962548</v>
      </c>
      <c r="M131" s="2">
        <v>0.52106497809729002</v>
      </c>
      <c r="N131" s="1">
        <v>0.85129310344827602</v>
      </c>
      <c r="O131" s="1">
        <v>0.89104406130268199</v>
      </c>
      <c r="P131" s="1">
        <v>1.3105842911877399</v>
      </c>
      <c r="Q131" s="19">
        <v>3.0529214559387001</v>
      </c>
      <c r="R131" s="1">
        <v>0.48108237547892702</v>
      </c>
      <c r="S131" s="16">
        <f>Q131+R131</f>
        <v>3.534003831417627</v>
      </c>
      <c r="T131" s="1">
        <v>7.30363984674329E-2</v>
      </c>
      <c r="U131" s="1">
        <v>2.7217842356830699</v>
      </c>
      <c r="V131" s="1">
        <v>0.33113722025562897</v>
      </c>
      <c r="W131" s="7">
        <v>0.34380628161270399</v>
      </c>
      <c r="X131" s="6">
        <f>IF(W131&lt;=-0.65,-1,IF(W131&gt;=0.65,ROUND(W131,0),0))</f>
        <v>0</v>
      </c>
    </row>
    <row r="132" spans="1:24" x14ac:dyDescent="0.2">
      <c r="A132">
        <v>192</v>
      </c>
      <c r="B132" s="4">
        <v>1782026.41</v>
      </c>
      <c r="C132" s="9">
        <f>B132/12</f>
        <v>148502.20083333334</v>
      </c>
      <c r="D132" s="4">
        <v>104242.43</v>
      </c>
      <c r="E132" s="4">
        <v>8686.8691666666655</v>
      </c>
      <c r="F132" s="5">
        <v>95542</v>
      </c>
      <c r="G132" t="s">
        <v>18</v>
      </c>
      <c r="H132" t="s">
        <v>33</v>
      </c>
      <c r="I132" t="s">
        <v>103</v>
      </c>
      <c r="J132" t="s">
        <v>235</v>
      </c>
      <c r="K132" s="10">
        <f>F132/(Q132*174*12)</f>
        <v>8.8346201858615796</v>
      </c>
      <c r="L132" s="3">
        <v>18.651759540306902</v>
      </c>
      <c r="M132" s="2">
        <v>0.56865130859648705</v>
      </c>
      <c r="N132" s="1">
        <v>0.85799808429118796</v>
      </c>
      <c r="O132" s="1">
        <v>1.9370210727969399</v>
      </c>
      <c r="P132" s="1">
        <v>2.3843390804597702</v>
      </c>
      <c r="Q132" s="19">
        <v>5.1793582375478904</v>
      </c>
      <c r="R132" s="1">
        <v>0.82207854406130298</v>
      </c>
      <c r="S132" s="16">
        <f>Q132+R132</f>
        <v>6.0014367816091934</v>
      </c>
      <c r="T132" s="1">
        <v>0.475814176245211</v>
      </c>
      <c r="U132" s="1">
        <v>4.725369617904275</v>
      </c>
      <c r="V132" s="1">
        <v>0.45398861964362103</v>
      </c>
      <c r="W132" s="7">
        <v>0</v>
      </c>
      <c r="X132" s="6">
        <f>IF(W132&lt;=-0.65,-1,IF(W132&gt;=0.65,ROUND(W132,0),0))</f>
        <v>0</v>
      </c>
    </row>
    <row r="133" spans="1:24" x14ac:dyDescent="0.2">
      <c r="A133">
        <v>194</v>
      </c>
      <c r="B133" s="4">
        <v>989298.84</v>
      </c>
      <c r="C133" s="9">
        <f>B133/12</f>
        <v>82441.569999999992</v>
      </c>
      <c r="D133" s="4">
        <v>93168.65</v>
      </c>
      <c r="E133" s="4">
        <v>7764.0541666666659</v>
      </c>
      <c r="F133" s="5">
        <v>60682</v>
      </c>
      <c r="G133" t="s">
        <v>18</v>
      </c>
      <c r="H133" t="s">
        <v>98</v>
      </c>
      <c r="I133" t="s">
        <v>104</v>
      </c>
      <c r="J133" t="s">
        <v>337</v>
      </c>
      <c r="K133" s="10">
        <f>F133/(Q133*174*12)</f>
        <v>7.0254124457308178</v>
      </c>
      <c r="L133" s="3">
        <v>16.303003196994201</v>
      </c>
      <c r="M133" s="2">
        <v>0.58188841098813004</v>
      </c>
      <c r="N133" s="1">
        <v>0.721024904214559</v>
      </c>
      <c r="O133" s="1">
        <v>1.0658524904214599</v>
      </c>
      <c r="P133" s="1">
        <v>2.3498563218390802</v>
      </c>
      <c r="Q133" s="19">
        <v>4.1367337164751001</v>
      </c>
      <c r="R133" s="1">
        <v>1.07471264367816</v>
      </c>
      <c r="S133" s="16">
        <f>Q133+R133</f>
        <v>5.2114463601532606</v>
      </c>
      <c r="T133" s="1">
        <v>0.39535440613026801</v>
      </c>
      <c r="U133" s="1">
        <v>3.3538270548231148</v>
      </c>
      <c r="V133" s="1">
        <v>0.78290666165197997</v>
      </c>
      <c r="W133" s="7">
        <v>0.485433824871907</v>
      </c>
      <c r="X133" s="6">
        <f>IF(W133&lt;=-0.65,-1,IF(W133&gt;=0.65,ROUND(W133,0),0))</f>
        <v>0</v>
      </c>
    </row>
    <row r="134" spans="1:24" x14ac:dyDescent="0.2">
      <c r="A134">
        <v>195</v>
      </c>
      <c r="B134" s="4">
        <v>1837036.24</v>
      </c>
      <c r="C134" s="9">
        <f>B134/12</f>
        <v>153086.35333333333</v>
      </c>
      <c r="D134" s="4">
        <v>109841.66</v>
      </c>
      <c r="E134" s="4">
        <v>9153.4716666666664</v>
      </c>
      <c r="F134" s="5">
        <v>116425</v>
      </c>
      <c r="G134" t="s">
        <v>18</v>
      </c>
      <c r="H134" t="s">
        <v>27</v>
      </c>
      <c r="I134" t="s">
        <v>105</v>
      </c>
      <c r="J134" t="s">
        <v>314</v>
      </c>
      <c r="K134" s="10">
        <f>F134/(Q134*174*12)</f>
        <v>10.8166488595717</v>
      </c>
      <c r="L134" s="3">
        <v>15.778709383723401</v>
      </c>
      <c r="M134" s="2">
        <v>0.56878082601135804</v>
      </c>
      <c r="N134" s="1">
        <v>0.89343869731800796</v>
      </c>
      <c r="O134" s="1">
        <v>2.35680076628352</v>
      </c>
      <c r="P134" s="1">
        <v>1.90469348659004</v>
      </c>
      <c r="Q134" s="19">
        <v>5.1549329501915704</v>
      </c>
      <c r="R134" s="1">
        <v>0.66283524904214597</v>
      </c>
      <c r="S134" s="16">
        <f>Q134+R134</f>
        <v>5.8177681992337167</v>
      </c>
      <c r="T134" s="1">
        <v>0.33117816091954</v>
      </c>
      <c r="U134" s="1">
        <v>5.6105080914178895</v>
      </c>
      <c r="V134" s="1">
        <v>-0.45557514122631898</v>
      </c>
      <c r="W134" s="7">
        <v>-0.37214397829226498</v>
      </c>
      <c r="X134" s="6">
        <f>IF(W134&lt;=-0.65,-1,IF(W134&gt;=0.65,ROUND(W134,0),0))</f>
        <v>0</v>
      </c>
    </row>
    <row r="135" spans="1:24" x14ac:dyDescent="0.2">
      <c r="A135">
        <v>196</v>
      </c>
      <c r="B135" s="4">
        <v>1633547.89</v>
      </c>
      <c r="C135" s="9">
        <f>B135/12</f>
        <v>136128.99083333332</v>
      </c>
      <c r="D135" s="4">
        <v>123018.94</v>
      </c>
      <c r="E135" s="4">
        <v>10251.578333333333</v>
      </c>
      <c r="F135" s="5">
        <v>101486</v>
      </c>
      <c r="G135" t="s">
        <v>86</v>
      </c>
      <c r="H135" t="s">
        <v>46</v>
      </c>
      <c r="I135" t="s">
        <v>106</v>
      </c>
      <c r="J135" t="s">
        <v>175</v>
      </c>
      <c r="K135" s="10">
        <f>F135/(Q135*174*12)</f>
        <v>8.0127906517705512</v>
      </c>
      <c r="L135" s="3">
        <v>16.096288059436802</v>
      </c>
      <c r="M135" s="2">
        <v>0.25894460920885498</v>
      </c>
      <c r="N135" s="1">
        <v>0.19300766283524901</v>
      </c>
      <c r="O135" s="1">
        <v>2.3038793103448301</v>
      </c>
      <c r="P135" s="1">
        <v>3.5689655172413799</v>
      </c>
      <c r="Q135" s="19">
        <v>6.0658524904214604</v>
      </c>
      <c r="R135" s="1">
        <v>1.28208812260536</v>
      </c>
      <c r="S135" s="16">
        <f>Q135+R135</f>
        <v>7.3479406130268199</v>
      </c>
      <c r="T135" s="1">
        <v>0.51795977011494299</v>
      </c>
      <c r="U135" s="1">
        <v>4.9720007913918653</v>
      </c>
      <c r="V135" s="1">
        <v>1.0938516990295899</v>
      </c>
      <c r="W135" s="7">
        <v>0.83835755694969805</v>
      </c>
      <c r="X135" s="6">
        <f>IF(W135&lt;=-0.65,-1,IF(W135&gt;=0.65,ROUND(W135,0),0))</f>
        <v>1</v>
      </c>
    </row>
    <row r="136" spans="1:24" x14ac:dyDescent="0.2">
      <c r="A136" s="11">
        <v>197</v>
      </c>
      <c r="B136" s="9">
        <v>2678649.6800000002</v>
      </c>
      <c r="C136" s="9">
        <f>B136/12</f>
        <v>223220.80666666667</v>
      </c>
      <c r="D136" s="9">
        <v>207456.58</v>
      </c>
      <c r="E136" s="4">
        <v>17288.048333333332</v>
      </c>
      <c r="F136" s="12">
        <v>117390</v>
      </c>
      <c r="G136" s="11" t="s">
        <v>86</v>
      </c>
      <c r="H136" s="11" t="s">
        <v>46</v>
      </c>
      <c r="I136" s="11" t="s">
        <v>107</v>
      </c>
      <c r="J136" s="11" t="s">
        <v>175</v>
      </c>
      <c r="K136" s="13">
        <f>F136/(Q136*174*12)</f>
        <v>5.4923152501930206</v>
      </c>
      <c r="L136" s="14">
        <v>22.8183804412642</v>
      </c>
      <c r="M136" s="15">
        <v>0.55427184490955905</v>
      </c>
      <c r="N136" s="16">
        <v>0.76891762452107304</v>
      </c>
      <c r="O136" s="16">
        <v>5.0019157088122599</v>
      </c>
      <c r="P136" s="16">
        <v>4.4655172413793096</v>
      </c>
      <c r="Q136" s="20">
        <v>10.236350574712599</v>
      </c>
      <c r="R136" s="16">
        <v>1.6079980842911901</v>
      </c>
      <c r="S136" s="16">
        <f>Q136+R136</f>
        <v>11.844348659003789</v>
      </c>
      <c r="T136" s="16">
        <v>5.4837164750957901E-2</v>
      </c>
      <c r="U136" s="16">
        <v>5.652717985796305</v>
      </c>
      <c r="V136" s="16">
        <v>4.5836325889163403</v>
      </c>
      <c r="W136" s="17">
        <v>2.7134788572427802</v>
      </c>
      <c r="X136" s="6">
        <f>IF(W136&lt;=-0.65,-1,IF(W136&gt;=0.65,ROUND(W136,0),0))</f>
        <v>3</v>
      </c>
    </row>
    <row r="137" spans="1:24" x14ac:dyDescent="0.2">
      <c r="A137">
        <v>198</v>
      </c>
      <c r="B137" s="4">
        <v>996686.21</v>
      </c>
      <c r="C137" s="9">
        <f>B137/12</f>
        <v>83057.184166666659</v>
      </c>
      <c r="D137" s="4">
        <v>80227.570000000007</v>
      </c>
      <c r="E137" s="4">
        <v>6685.6308333333336</v>
      </c>
      <c r="F137" s="5">
        <v>65059</v>
      </c>
      <c r="G137" t="s">
        <v>270</v>
      </c>
      <c r="H137" t="s">
        <v>46</v>
      </c>
      <c r="I137" t="s">
        <v>301</v>
      </c>
      <c r="J137" t="s">
        <v>175</v>
      </c>
      <c r="K137" s="10">
        <f>F137/(Q137*174*12)</f>
        <v>7.5225761692779143</v>
      </c>
      <c r="L137" s="3">
        <v>15.319728400375</v>
      </c>
      <c r="M137" s="2">
        <v>0.49160130348346998</v>
      </c>
      <c r="N137" s="1">
        <v>0.75981800766283503</v>
      </c>
      <c r="O137" s="1">
        <v>1.7131226053639801</v>
      </c>
      <c r="P137" s="1">
        <v>1.66906130268199</v>
      </c>
      <c r="Q137" s="19">
        <v>4.1420019157088097</v>
      </c>
      <c r="R137" s="1">
        <v>0.58716475095785403</v>
      </c>
      <c r="S137" s="16">
        <f>Q137+R137</f>
        <v>4.7291666666666634</v>
      </c>
      <c r="T137" s="1">
        <v>1.772030651341E-2</v>
      </c>
      <c r="U137" s="1">
        <v>4.6206160604406099</v>
      </c>
      <c r="V137" s="1">
        <v>-0.47861414473179997</v>
      </c>
      <c r="W137" s="7">
        <v>-0.160475382540751</v>
      </c>
      <c r="X137" s="6">
        <f>IF(W137&lt;=-0.65,-1,IF(W137&gt;=0.65,ROUND(W137,0),0))</f>
        <v>0</v>
      </c>
    </row>
    <row r="138" spans="1:24" x14ac:dyDescent="0.2">
      <c r="A138">
        <v>201</v>
      </c>
      <c r="B138" s="4">
        <v>551246.71</v>
      </c>
      <c r="C138" s="9">
        <f>B138/12</f>
        <v>45937.22583333333</v>
      </c>
      <c r="D138" s="4">
        <v>37824.589999999997</v>
      </c>
      <c r="E138" s="4">
        <v>3152.0491666666662</v>
      </c>
      <c r="F138" s="5">
        <v>21792</v>
      </c>
      <c r="G138" t="s">
        <v>208</v>
      </c>
      <c r="H138" t="s">
        <v>43</v>
      </c>
      <c r="I138" t="s">
        <v>248</v>
      </c>
      <c r="J138" t="s">
        <v>248</v>
      </c>
      <c r="K138" s="10">
        <f>F138/(Q138*174*12)</f>
        <v>7.6624472573839739</v>
      </c>
      <c r="L138" s="3">
        <v>25.295829203377401</v>
      </c>
      <c r="M138" s="2">
        <v>0.78941786337373299</v>
      </c>
      <c r="N138" s="1">
        <v>0.65972222222222199</v>
      </c>
      <c r="O138" s="1">
        <v>0.69085249042145602</v>
      </c>
      <c r="P138" s="1">
        <v>1.1494252873563199E-2</v>
      </c>
      <c r="Q138" s="19">
        <v>1.36206896551724</v>
      </c>
      <c r="R138" s="1">
        <v>0.21527777777777801</v>
      </c>
      <c r="S138" s="16">
        <f>Q138+R138</f>
        <v>1.5773467432950179</v>
      </c>
      <c r="T138" s="1">
        <v>0.149664750957854</v>
      </c>
      <c r="U138" s="1">
        <v>1.46657446436782</v>
      </c>
      <c r="V138" s="1">
        <v>-0.104505498850575</v>
      </c>
      <c r="W138" s="7">
        <v>-1.9398627137882402E-2</v>
      </c>
      <c r="X138" s="6">
        <f>IF(W138&lt;=-0.65,-1,IF(W138&gt;=0.65,ROUND(W138,0),0))</f>
        <v>0</v>
      </c>
    </row>
    <row r="139" spans="1:24" x14ac:dyDescent="0.2">
      <c r="A139">
        <v>202</v>
      </c>
      <c r="B139" s="4">
        <v>598023.06000000006</v>
      </c>
      <c r="C139" s="9">
        <f>B139/12</f>
        <v>49835.255000000005</v>
      </c>
      <c r="D139" s="4">
        <v>71276.44</v>
      </c>
      <c r="E139" s="4">
        <v>5939.7033333333338</v>
      </c>
      <c r="F139" s="5">
        <v>48367</v>
      </c>
      <c r="G139" t="s">
        <v>86</v>
      </c>
      <c r="H139" t="s">
        <v>46</v>
      </c>
      <c r="I139" t="s">
        <v>108</v>
      </c>
      <c r="J139" t="s">
        <v>175</v>
      </c>
      <c r="K139" s="10">
        <f>F139/(Q139*174*12)</f>
        <v>5.8915890127291526</v>
      </c>
      <c r="L139" s="3">
        <v>12.364278537019</v>
      </c>
      <c r="M139" s="2">
        <v>0.241817113206303</v>
      </c>
      <c r="N139" s="1">
        <v>0.122365900383142</v>
      </c>
      <c r="O139" s="1">
        <v>1.9331896551724099</v>
      </c>
      <c r="P139" s="1">
        <v>1.8761973180076601</v>
      </c>
      <c r="Q139" s="19">
        <v>3.9317528735632199</v>
      </c>
      <c r="R139" s="1">
        <v>0.417863984674329</v>
      </c>
      <c r="S139" s="16">
        <f>Q139+R139</f>
        <v>4.3496168582375487</v>
      </c>
      <c r="T139" s="1">
        <v>0.59291187739463602</v>
      </c>
      <c r="U139" s="1">
        <v>2.8963716568407998</v>
      </c>
      <c r="V139" s="1">
        <v>1.0353812167224199</v>
      </c>
      <c r="W139" s="7">
        <v>1.33237051884738</v>
      </c>
      <c r="X139" s="6">
        <f>IF(W139&lt;=-0.65,-1,IF(W139&gt;=0.65,ROUND(W139,0),0))</f>
        <v>1</v>
      </c>
    </row>
    <row r="140" spans="1:24" x14ac:dyDescent="0.2">
      <c r="A140">
        <v>203</v>
      </c>
      <c r="B140" s="4">
        <v>558203.03</v>
      </c>
      <c r="C140" s="9">
        <f>B140/12</f>
        <v>46516.919166666667</v>
      </c>
      <c r="D140" s="4">
        <v>38015.08</v>
      </c>
      <c r="E140" s="4">
        <v>3167.9233333333336</v>
      </c>
      <c r="F140" s="5">
        <v>35985</v>
      </c>
      <c r="G140" t="s">
        <v>208</v>
      </c>
      <c r="H140" t="s">
        <v>25</v>
      </c>
      <c r="I140" t="s">
        <v>262</v>
      </c>
      <c r="J140" t="s">
        <v>328</v>
      </c>
      <c r="K140" s="10">
        <f>F140/(Q140*174*12)</f>
        <v>9.8172145682717176</v>
      </c>
      <c r="L140" s="3">
        <v>15.5121030985133</v>
      </c>
      <c r="M140" s="2">
        <v>0.62928431255559503</v>
      </c>
      <c r="N140" s="1">
        <v>0.84961685823754796</v>
      </c>
      <c r="O140" s="1">
        <v>0.118534482758621</v>
      </c>
      <c r="P140" s="1">
        <v>0.787356321839081</v>
      </c>
      <c r="Q140" s="19">
        <v>1.7555076628352499</v>
      </c>
      <c r="R140" s="1">
        <v>0.26340996168582398</v>
      </c>
      <c r="S140" s="16">
        <f>Q140+R140</f>
        <v>2.018917624521074</v>
      </c>
      <c r="T140" s="1">
        <v>0.122365900383142</v>
      </c>
      <c r="U140" s="1">
        <v>2.4217456910919499</v>
      </c>
      <c r="V140" s="1">
        <v>-0.66623802825670497</v>
      </c>
      <c r="W140" s="7">
        <v>-0.16069759500300801</v>
      </c>
      <c r="X140" s="6">
        <f>IF(W140&lt;=-0.65,-1,IF(W140&gt;=0.65,ROUND(W140,0),0))</f>
        <v>0</v>
      </c>
    </row>
    <row r="141" spans="1:24" x14ac:dyDescent="0.2">
      <c r="A141">
        <v>207</v>
      </c>
      <c r="B141" s="4">
        <v>1311823.8799999999</v>
      </c>
      <c r="C141" s="9">
        <f>B141/12</f>
        <v>109318.65666666666</v>
      </c>
      <c r="D141" s="4">
        <v>75599.429999999993</v>
      </c>
      <c r="E141" s="4">
        <v>6299.9524999999994</v>
      </c>
      <c r="F141" s="5">
        <v>67447</v>
      </c>
      <c r="G141" t="s">
        <v>18</v>
      </c>
      <c r="H141" t="s">
        <v>21</v>
      </c>
      <c r="I141" t="s">
        <v>109</v>
      </c>
      <c r="J141" t="s">
        <v>316</v>
      </c>
      <c r="K141" s="10">
        <f>F141/(Q141*174*12)</f>
        <v>7.6700972309091879</v>
      </c>
      <c r="L141" s="3">
        <v>19.449699467730198</v>
      </c>
      <c r="M141" s="2">
        <v>0.65928919513189499</v>
      </c>
      <c r="N141" s="1">
        <v>0.83045977011494299</v>
      </c>
      <c r="O141" s="1">
        <v>1.7756226053639801</v>
      </c>
      <c r="P141" s="1">
        <v>1.6053639846743299</v>
      </c>
      <c r="Q141" s="19">
        <v>4.2114463601532597</v>
      </c>
      <c r="R141" s="1">
        <v>0.72892720306513403</v>
      </c>
      <c r="S141" s="16">
        <f>Q141+R141</f>
        <v>4.9403735632183938</v>
      </c>
      <c r="T141" s="1">
        <v>3.56800766283525E-2</v>
      </c>
      <c r="U141" s="1">
        <v>3.6107462888106099</v>
      </c>
      <c r="V141" s="1">
        <v>0.60070007134264902</v>
      </c>
      <c r="W141" s="7">
        <v>0</v>
      </c>
      <c r="X141" s="6">
        <f>IF(W141&lt;=-0.65,-1,IF(W141&gt;=0.65,ROUND(W141,0),0))</f>
        <v>0</v>
      </c>
    </row>
    <row r="142" spans="1:24" x14ac:dyDescent="0.2">
      <c r="A142">
        <v>209</v>
      </c>
      <c r="B142" s="4">
        <v>911479.69</v>
      </c>
      <c r="C142" s="9">
        <f>B142/12</f>
        <v>75956.640833333324</v>
      </c>
      <c r="D142" s="4">
        <v>73619.48</v>
      </c>
      <c r="E142" s="4">
        <v>6134.956666666666</v>
      </c>
      <c r="F142" s="5">
        <v>39181</v>
      </c>
      <c r="G142" t="s">
        <v>136</v>
      </c>
      <c r="H142" t="s">
        <v>98</v>
      </c>
      <c r="I142" t="s">
        <v>165</v>
      </c>
      <c r="J142" t="s">
        <v>356</v>
      </c>
      <c r="K142" s="10">
        <f>F142/(Q142*174*12)</f>
        <v>5.9781812633506242</v>
      </c>
      <c r="L142" s="3">
        <v>23.263308491360601</v>
      </c>
      <c r="M142" s="2">
        <v>0.74286120407137102</v>
      </c>
      <c r="N142" s="1">
        <v>0.72796934865900398</v>
      </c>
      <c r="O142" s="1">
        <v>1.48156130268199</v>
      </c>
      <c r="P142" s="1">
        <v>0.92935823754789304</v>
      </c>
      <c r="Q142" s="19">
        <v>3.1388888888888902</v>
      </c>
      <c r="R142" s="1">
        <v>1.81489463601533</v>
      </c>
      <c r="S142" s="16">
        <f>Q142+R142</f>
        <v>4.9537835249042201</v>
      </c>
      <c r="T142" s="1">
        <v>0.13314176245210699</v>
      </c>
      <c r="U142" s="1">
        <v>2.8834194859674298</v>
      </c>
      <c r="V142" s="1">
        <v>0.25546940292145598</v>
      </c>
      <c r="W142" s="7">
        <v>0.166246873714684</v>
      </c>
      <c r="X142" s="6">
        <f>IF(W142&lt;=-0.65,-1,IF(W142&gt;=0.65,ROUND(W142,0),0))</f>
        <v>0</v>
      </c>
    </row>
    <row r="143" spans="1:24" x14ac:dyDescent="0.2">
      <c r="A143">
        <v>210</v>
      </c>
      <c r="B143" s="4">
        <v>1054084.25</v>
      </c>
      <c r="C143" s="9">
        <f>B143/12</f>
        <v>87840.354166666672</v>
      </c>
      <c r="D143" s="4">
        <v>57217.35</v>
      </c>
      <c r="E143" s="4">
        <v>4768.1125000000002</v>
      </c>
      <c r="F143" s="5">
        <v>38056</v>
      </c>
      <c r="G143" t="s">
        <v>136</v>
      </c>
      <c r="H143" t="s">
        <v>49</v>
      </c>
      <c r="I143" t="s">
        <v>166</v>
      </c>
      <c r="J143" t="s">
        <v>346</v>
      </c>
      <c r="K143" s="10">
        <f>F143/(Q143*174*12)</f>
        <v>7.0565547932505055</v>
      </c>
      <c r="L143" s="3">
        <v>27.698240750473001</v>
      </c>
      <c r="M143" s="2">
        <v>0.79289449586216698</v>
      </c>
      <c r="N143" s="1">
        <v>0.106800766283525</v>
      </c>
      <c r="O143" s="1">
        <v>1.5124521072796899</v>
      </c>
      <c r="P143" s="1">
        <v>0.96360153256704995</v>
      </c>
      <c r="Q143" s="19">
        <v>2.5828544061302701</v>
      </c>
      <c r="R143" s="1">
        <v>0.38505747126436801</v>
      </c>
      <c r="S143" s="16">
        <f>Q143+R143</f>
        <v>2.9679118773946382</v>
      </c>
      <c r="T143" s="1">
        <v>2.2509578544061298E-2</v>
      </c>
      <c r="U143" s="1">
        <v>2.8006281605363998</v>
      </c>
      <c r="V143" s="1">
        <v>-0.21777375440613</v>
      </c>
      <c r="W143" s="7">
        <v>-7.5543132028275006E-2</v>
      </c>
      <c r="X143" s="6">
        <f>IF(W143&lt;=-0.65,-1,IF(W143&gt;=0.65,ROUND(W143,0),0))</f>
        <v>0</v>
      </c>
    </row>
    <row r="144" spans="1:24" x14ac:dyDescent="0.2">
      <c r="A144">
        <v>212</v>
      </c>
      <c r="B144" s="4">
        <v>1356507.3</v>
      </c>
      <c r="C144" s="9">
        <f>B144/12</f>
        <v>113042.27500000001</v>
      </c>
      <c r="D144" s="4">
        <v>87100.84</v>
      </c>
      <c r="E144" s="4">
        <v>7258.4033333333327</v>
      </c>
      <c r="F144" s="5">
        <v>90361</v>
      </c>
      <c r="G144" t="s">
        <v>18</v>
      </c>
      <c r="H144" t="s">
        <v>49</v>
      </c>
      <c r="I144" t="s">
        <v>110</v>
      </c>
      <c r="J144" t="s">
        <v>338</v>
      </c>
      <c r="K144" s="10">
        <f>F144/(Q144*174*12)</f>
        <v>10.487581244196834</v>
      </c>
      <c r="L144" s="3">
        <v>15.012088179635001</v>
      </c>
      <c r="M144" s="2">
        <v>0.482708216903809</v>
      </c>
      <c r="N144" s="1">
        <v>0.140325670498084</v>
      </c>
      <c r="O144" s="1">
        <v>2.2030651340996199</v>
      </c>
      <c r="P144" s="1">
        <v>1.7830459770114899</v>
      </c>
      <c r="Q144" s="19">
        <v>4.1264367816091996</v>
      </c>
      <c r="R144" s="1">
        <v>0.59458812260536398</v>
      </c>
      <c r="S144" s="16">
        <f>Q144+R144</f>
        <v>4.7210249042145636</v>
      </c>
      <c r="T144" s="1">
        <v>0.45354406130268199</v>
      </c>
      <c r="U144" s="1">
        <v>4.513640897026475</v>
      </c>
      <c r="V144" s="1">
        <v>-0.387204115417282</v>
      </c>
      <c r="W144" s="7">
        <v>-0.15848437392083101</v>
      </c>
      <c r="X144" s="6">
        <f>IF(W144&lt;=-0.65,-1,IF(W144&gt;=0.65,ROUND(W144,0),0))</f>
        <v>0</v>
      </c>
    </row>
    <row r="145" spans="1:24" x14ac:dyDescent="0.2">
      <c r="A145">
        <v>216</v>
      </c>
      <c r="B145" s="4">
        <v>1097266.52</v>
      </c>
      <c r="C145" s="9">
        <f>B145/12</f>
        <v>91438.876666666663</v>
      </c>
      <c r="D145" s="4">
        <v>74800.509999999995</v>
      </c>
      <c r="E145" s="4">
        <v>6233.3758333333326</v>
      </c>
      <c r="F145" s="5">
        <v>56554</v>
      </c>
      <c r="G145" t="s">
        <v>18</v>
      </c>
      <c r="H145" t="s">
        <v>54</v>
      </c>
      <c r="I145" t="s">
        <v>111</v>
      </c>
      <c r="J145" t="s">
        <v>175</v>
      </c>
      <c r="K145" s="10">
        <f>F145/(Q145*174*12)</f>
        <v>7.2430840163934365</v>
      </c>
      <c r="L145" s="3">
        <v>19.402102769034901</v>
      </c>
      <c r="M145" s="2">
        <v>0.55568701758985595</v>
      </c>
      <c r="N145" s="1">
        <v>0.85608237547892696</v>
      </c>
      <c r="O145" s="1">
        <v>1.19827586206897</v>
      </c>
      <c r="P145" s="1">
        <v>1.68510536398467</v>
      </c>
      <c r="Q145" s="19">
        <v>3.7394636015325702</v>
      </c>
      <c r="R145" s="1">
        <v>0.56968390804597702</v>
      </c>
      <c r="S145" s="16">
        <f>Q145+R145</f>
        <v>4.3091475095785476</v>
      </c>
      <c r="T145" s="1">
        <v>0.13888888888888901</v>
      </c>
      <c r="U145" s="1">
        <v>3.1990515859480997</v>
      </c>
      <c r="V145" s="1">
        <v>0.54041201558447105</v>
      </c>
      <c r="W145" s="7">
        <v>0</v>
      </c>
      <c r="X145" s="6">
        <f>IF(W145&lt;=-0.65,-1,IF(W145&gt;=0.65,ROUND(W145,0),0))</f>
        <v>0</v>
      </c>
    </row>
    <row r="146" spans="1:24" x14ac:dyDescent="0.2">
      <c r="A146">
        <v>217</v>
      </c>
      <c r="B146" s="4">
        <v>1086709.4099999999</v>
      </c>
      <c r="C146" s="9">
        <f>B146/12</f>
        <v>90559.117499999993</v>
      </c>
      <c r="D146" s="4">
        <v>59182.81</v>
      </c>
      <c r="E146" s="4">
        <v>4931.9008333333331</v>
      </c>
      <c r="F146" s="5">
        <v>51256</v>
      </c>
      <c r="G146" t="s">
        <v>208</v>
      </c>
      <c r="H146" t="s">
        <v>37</v>
      </c>
      <c r="I146" t="s">
        <v>249</v>
      </c>
      <c r="J146" t="s">
        <v>376</v>
      </c>
      <c r="K146" s="10">
        <f>F146/(Q146*174*12)</f>
        <v>7.3469504766000107</v>
      </c>
      <c r="L146" s="3">
        <v>21.201603909786201</v>
      </c>
      <c r="M146" s="2">
        <v>0.67224249949211401</v>
      </c>
      <c r="N146" s="1">
        <v>0.83955938697318</v>
      </c>
      <c r="O146" s="1">
        <v>0.90014367816092</v>
      </c>
      <c r="P146" s="1">
        <v>1.60153256704981</v>
      </c>
      <c r="Q146" s="19">
        <v>3.3412356321839098</v>
      </c>
      <c r="R146" s="1">
        <v>0.51340996168582398</v>
      </c>
      <c r="S146" s="16">
        <f>Q146+R146</f>
        <v>3.8546455938697339</v>
      </c>
      <c r="T146" s="1">
        <v>3.1609195402298798E-2</v>
      </c>
      <c r="U146" s="1">
        <v>3.4494649754789299</v>
      </c>
      <c r="V146" s="1">
        <v>-0.108229343295019</v>
      </c>
      <c r="W146" s="7">
        <v>0</v>
      </c>
      <c r="X146" s="6">
        <f>IF(W146&lt;=-0.65,-1,IF(W146&gt;=0.65,ROUND(W146,0),0))</f>
        <v>0</v>
      </c>
    </row>
    <row r="147" spans="1:24" x14ac:dyDescent="0.2">
      <c r="A147">
        <v>218</v>
      </c>
      <c r="B147" s="4">
        <v>586071.68000000005</v>
      </c>
      <c r="C147" s="9">
        <f>B147/12</f>
        <v>48839.306666666671</v>
      </c>
      <c r="D147" s="4">
        <v>50330.28</v>
      </c>
      <c r="E147" s="4">
        <v>4194.1899999999996</v>
      </c>
      <c r="F147" s="5">
        <v>26396</v>
      </c>
      <c r="G147" t="s">
        <v>270</v>
      </c>
      <c r="H147" t="s">
        <v>43</v>
      </c>
      <c r="I147" t="s">
        <v>279</v>
      </c>
      <c r="J147" t="s">
        <v>279</v>
      </c>
      <c r="K147" s="10">
        <f>F147/(Q147*174*12)</f>
        <v>5.8657777777777875</v>
      </c>
      <c r="L147" s="3">
        <v>22.2030489468101</v>
      </c>
      <c r="M147" s="2">
        <v>0.76009426014237702</v>
      </c>
      <c r="N147" s="1">
        <v>0.79382183908046</v>
      </c>
      <c r="O147" s="1">
        <v>1.3311781609195401</v>
      </c>
      <c r="P147" s="1">
        <v>3.0172413793103401E-2</v>
      </c>
      <c r="Q147" s="19">
        <v>2.1551724137931001</v>
      </c>
      <c r="R147" s="1">
        <v>0.54597701149425304</v>
      </c>
      <c r="S147" s="16">
        <f>Q147+R147</f>
        <v>2.7011494252873529</v>
      </c>
      <c r="T147" s="1">
        <v>5.1724137931034503E-2</v>
      </c>
      <c r="U147" s="1">
        <v>1.87469499272031</v>
      </c>
      <c r="V147" s="1">
        <v>0.280477421072797</v>
      </c>
      <c r="W147" s="7">
        <v>3.0575768688857901E-2</v>
      </c>
      <c r="X147" s="6">
        <f>IF(W147&lt;=-0.65,-1,IF(W147&gt;=0.65,ROUND(W147,0),0))</f>
        <v>0</v>
      </c>
    </row>
    <row r="148" spans="1:24" x14ac:dyDescent="0.2">
      <c r="A148">
        <v>220</v>
      </c>
      <c r="B148" s="4">
        <v>1648765.3</v>
      </c>
      <c r="C148" s="9">
        <f>B148/12</f>
        <v>137397.10833333334</v>
      </c>
      <c r="D148" s="4">
        <v>108962.67</v>
      </c>
      <c r="E148" s="4">
        <v>9080.2224999999999</v>
      </c>
      <c r="F148" s="5">
        <v>68724</v>
      </c>
      <c r="G148" t="s">
        <v>136</v>
      </c>
      <c r="H148" t="s">
        <v>31</v>
      </c>
      <c r="I148" t="s">
        <v>167</v>
      </c>
      <c r="J148" t="s">
        <v>175</v>
      </c>
      <c r="K148" s="10">
        <f>F148/(Q148*174*12)</f>
        <v>6.0573795778061763</v>
      </c>
      <c r="L148" s="3">
        <v>23.991113730283502</v>
      </c>
      <c r="M148" s="2">
        <v>0.73964579434077105</v>
      </c>
      <c r="N148" s="1">
        <v>0.78544061302682</v>
      </c>
      <c r="O148" s="1">
        <v>3.01676245210728</v>
      </c>
      <c r="P148" s="1">
        <v>1.6314655172413799</v>
      </c>
      <c r="Q148" s="19">
        <v>5.4336685823754802</v>
      </c>
      <c r="R148" s="1">
        <v>0.95617816091954</v>
      </c>
      <c r="S148" s="16">
        <f>Q148+R148</f>
        <v>6.3898467432950206</v>
      </c>
      <c r="T148" s="1">
        <v>4.5498084291187698E-3</v>
      </c>
      <c r="U148" s="1">
        <v>5.0575564879310297</v>
      </c>
      <c r="V148" s="1">
        <v>0.37611209444444399</v>
      </c>
      <c r="W148" s="7">
        <v>0.28217852523432602</v>
      </c>
      <c r="X148" s="6">
        <f>IF(W148&lt;=-0.65,-1,IF(W148&gt;=0.65,ROUND(W148,0),0))</f>
        <v>0</v>
      </c>
    </row>
    <row r="149" spans="1:24" x14ac:dyDescent="0.2">
      <c r="A149">
        <v>221</v>
      </c>
      <c r="B149" s="4">
        <v>2499011.12</v>
      </c>
      <c r="C149" s="9">
        <f>B149/12</f>
        <v>208250.92666666667</v>
      </c>
      <c r="D149" s="4">
        <v>124595.48</v>
      </c>
      <c r="E149" s="4">
        <v>10382.956666666667</v>
      </c>
      <c r="F149" s="5">
        <v>78174</v>
      </c>
      <c r="G149" t="s">
        <v>136</v>
      </c>
      <c r="H149" t="s">
        <v>33</v>
      </c>
      <c r="I149" t="s">
        <v>168</v>
      </c>
      <c r="J149" t="s">
        <v>206</v>
      </c>
      <c r="K149" s="10">
        <f>F149/(Q149*174*12)</f>
        <v>7.4292230933713519</v>
      </c>
      <c r="L149" s="3">
        <v>31.9672924501753</v>
      </c>
      <c r="M149" s="2">
        <v>0.82515733263323798</v>
      </c>
      <c r="N149" s="1">
        <v>0.756465517241379</v>
      </c>
      <c r="O149" s="1">
        <v>2.7480842911877401</v>
      </c>
      <c r="P149" s="1">
        <v>1.53496168582375</v>
      </c>
      <c r="Q149" s="19">
        <v>5.0395114942528698</v>
      </c>
      <c r="R149" s="1">
        <v>1.86278735632184</v>
      </c>
      <c r="S149" s="16">
        <f>Q149+R149</f>
        <v>6.9022988505747094</v>
      </c>
      <c r="T149" s="1">
        <v>7.2796934865900401E-2</v>
      </c>
      <c r="U149" s="1">
        <v>5.75300362155172</v>
      </c>
      <c r="V149" s="1">
        <v>-0.71349212729885003</v>
      </c>
      <c r="W149" s="7">
        <v>-0.61051160607771104</v>
      </c>
      <c r="X149" s="6">
        <f>IF(W149&lt;=-0.65,-1,IF(W149&gt;=0.65,ROUND(W149,0),0))</f>
        <v>0</v>
      </c>
    </row>
    <row r="150" spans="1:24" x14ac:dyDescent="0.2">
      <c r="A150">
        <v>223</v>
      </c>
      <c r="B150" s="4">
        <v>2524019.61</v>
      </c>
      <c r="C150" s="9">
        <f>B150/12</f>
        <v>210334.9675</v>
      </c>
      <c r="D150" s="4">
        <v>177441.52</v>
      </c>
      <c r="E150" s="4">
        <v>14786.793333333333</v>
      </c>
      <c r="F150" s="5">
        <v>147695</v>
      </c>
      <c r="G150" t="s">
        <v>86</v>
      </c>
      <c r="H150" t="s">
        <v>46</v>
      </c>
      <c r="I150" t="s">
        <v>112</v>
      </c>
      <c r="J150" t="s">
        <v>175</v>
      </c>
      <c r="K150" s="10">
        <f>F150/(Q150*174*12)</f>
        <v>8.1220270010173508</v>
      </c>
      <c r="L150" s="3">
        <v>17.089404583770602</v>
      </c>
      <c r="M150" s="2">
        <v>0.264800169282361</v>
      </c>
      <c r="N150" s="1">
        <v>0.80962643678160895</v>
      </c>
      <c r="O150" s="1">
        <v>2.44659961685824</v>
      </c>
      <c r="P150" s="1">
        <v>5.45282567049808</v>
      </c>
      <c r="Q150" s="19">
        <v>8.7090517241379306</v>
      </c>
      <c r="R150" s="1">
        <v>1.7677203065134099</v>
      </c>
      <c r="S150" s="16">
        <f>Q150+R150</f>
        <v>10.47677203065134</v>
      </c>
      <c r="T150" s="1">
        <v>6.9683908045977003E-2</v>
      </c>
      <c r="U150" s="1">
        <v>7.0446278231128803</v>
      </c>
      <c r="V150" s="1">
        <v>1.6644239010250499</v>
      </c>
      <c r="W150" s="7">
        <v>1.19647547147124</v>
      </c>
      <c r="X150" s="6">
        <f>IF(W150&lt;=-0.65,-1,IF(W150&gt;=0.65,ROUND(W150,0),0))</f>
        <v>1</v>
      </c>
    </row>
    <row r="151" spans="1:24" x14ac:dyDescent="0.2">
      <c r="A151">
        <v>224</v>
      </c>
      <c r="B151" s="4">
        <v>979672.37</v>
      </c>
      <c r="C151" s="9">
        <f>B151/12</f>
        <v>81639.364166666666</v>
      </c>
      <c r="D151" s="4">
        <v>60449.599999999999</v>
      </c>
      <c r="E151" s="4">
        <v>5037.4666666666662</v>
      </c>
      <c r="F151" s="5">
        <v>53369</v>
      </c>
      <c r="G151" t="s">
        <v>208</v>
      </c>
      <c r="H151" t="s">
        <v>25</v>
      </c>
      <c r="I151" t="s">
        <v>253</v>
      </c>
      <c r="J151" t="s">
        <v>320</v>
      </c>
      <c r="K151" s="10">
        <f>F151/(Q151*174*12)</f>
        <v>8.0217946790921317</v>
      </c>
      <c r="L151" s="3">
        <v>18.356580973973699</v>
      </c>
      <c r="M151" s="2">
        <v>0.67528632046650505</v>
      </c>
      <c r="N151" s="1">
        <v>0.85560344827586199</v>
      </c>
      <c r="O151" s="1">
        <v>1.4913793103448301</v>
      </c>
      <c r="P151" s="1">
        <v>0.83931992337164696</v>
      </c>
      <c r="Q151" s="19">
        <v>3.1863026819923399</v>
      </c>
      <c r="R151" s="1">
        <v>0.44492337164751</v>
      </c>
      <c r="S151" s="16">
        <f>Q151+R151</f>
        <v>3.6312260536398497</v>
      </c>
      <c r="T151" s="1">
        <v>1.1973180076628399E-3</v>
      </c>
      <c r="U151" s="1">
        <v>3.5916672443486601</v>
      </c>
      <c r="V151" s="1">
        <v>-0.40536456235632201</v>
      </c>
      <c r="W151" s="7">
        <v>-4.9597766242135397E-2</v>
      </c>
      <c r="X151" s="6">
        <f>IF(W151&lt;=-0.65,-1,IF(W151&gt;=0.65,ROUND(W151,0),0))</f>
        <v>0</v>
      </c>
    </row>
    <row r="152" spans="1:24" x14ac:dyDescent="0.2">
      <c r="A152">
        <v>225</v>
      </c>
      <c r="B152" s="4">
        <v>285688.08</v>
      </c>
      <c r="C152" s="9">
        <f>B152/12</f>
        <v>23807.34</v>
      </c>
      <c r="D152" s="4">
        <v>37924.86</v>
      </c>
      <c r="E152" s="4">
        <v>3160.4050000000002</v>
      </c>
      <c r="F152" s="5">
        <v>19761</v>
      </c>
      <c r="G152" t="s">
        <v>270</v>
      </c>
      <c r="H152" t="s">
        <v>23</v>
      </c>
      <c r="I152" t="s">
        <v>253</v>
      </c>
      <c r="J152" t="s">
        <v>320</v>
      </c>
      <c r="K152" s="10">
        <f>F152/(Q152*174*12)</f>
        <v>4.4062656781314455</v>
      </c>
      <c r="L152" s="3">
        <v>14.457167147411599</v>
      </c>
      <c r="M152" s="2">
        <v>0.50188698807454601</v>
      </c>
      <c r="N152" s="1">
        <v>0.51460727969348696</v>
      </c>
      <c r="O152" s="1">
        <v>0.635656130268199</v>
      </c>
      <c r="P152" s="1">
        <v>0.99760536398467403</v>
      </c>
      <c r="Q152" s="19">
        <v>2.1478687739463602</v>
      </c>
      <c r="R152" s="1">
        <v>0.30076628352490398</v>
      </c>
      <c r="S152" s="16">
        <f>Q152+R152</f>
        <v>2.4486350574712641</v>
      </c>
      <c r="T152" s="1">
        <v>0.47569444444444398</v>
      </c>
      <c r="U152" s="1">
        <v>1.4034644548850601</v>
      </c>
      <c r="V152" s="1">
        <v>0.744404319061303</v>
      </c>
      <c r="W152" s="7">
        <v>0.55170052090307697</v>
      </c>
      <c r="X152" s="6">
        <f>IF(W152&lt;=-0.65,-1,IF(W152&gt;=0.65,ROUND(W152,0),0))</f>
        <v>0</v>
      </c>
    </row>
    <row r="153" spans="1:24" x14ac:dyDescent="0.2">
      <c r="A153">
        <v>227</v>
      </c>
      <c r="B153" s="4">
        <v>342458.67</v>
      </c>
      <c r="C153" s="9">
        <f>B153/12</f>
        <v>28538.2225</v>
      </c>
      <c r="D153" s="4">
        <v>40807.730000000003</v>
      </c>
      <c r="E153" s="4">
        <v>3400.6441666666669</v>
      </c>
      <c r="F153" s="5">
        <v>18109</v>
      </c>
      <c r="G153" t="s">
        <v>136</v>
      </c>
      <c r="H153" t="s">
        <v>98</v>
      </c>
      <c r="I153" t="s">
        <v>169</v>
      </c>
      <c r="J153" t="s">
        <v>169</v>
      </c>
      <c r="K153" s="10">
        <f>F153/(Q153*174*12)</f>
        <v>4.1795626334314226</v>
      </c>
      <c r="L153" s="3">
        <v>18.910965265889899</v>
      </c>
      <c r="M153" s="2">
        <v>0.59417517448163903</v>
      </c>
      <c r="N153" s="1">
        <v>0.31908524904214602</v>
      </c>
      <c r="O153" s="1">
        <v>0.86542145593869702</v>
      </c>
      <c r="P153" s="1">
        <v>0.89056513409961702</v>
      </c>
      <c r="Q153" s="19">
        <v>2.0750718390804601</v>
      </c>
      <c r="R153" s="1">
        <v>0.52681992337164796</v>
      </c>
      <c r="S153" s="16">
        <f>Q153+R153</f>
        <v>2.6018917624521078</v>
      </c>
      <c r="T153" s="1">
        <v>1.05806992337165</v>
      </c>
      <c r="U153" s="1">
        <v>1.3326827664272001</v>
      </c>
      <c r="V153" s="1">
        <v>0.74238907265325604</v>
      </c>
      <c r="W153" s="7">
        <v>0.67514424980493604</v>
      </c>
      <c r="X153" s="6">
        <f>IF(W153&lt;=-0.65,-1,IF(W153&gt;=0.65,ROUND(W153,0),0))</f>
        <v>1</v>
      </c>
    </row>
    <row r="154" spans="1:24" x14ac:dyDescent="0.2">
      <c r="A154">
        <v>228</v>
      </c>
      <c r="B154" s="4">
        <v>1624401.26</v>
      </c>
      <c r="C154" s="9">
        <f>B154/12</f>
        <v>135366.77166666667</v>
      </c>
      <c r="D154" s="4">
        <v>102420.25</v>
      </c>
      <c r="E154" s="4">
        <v>8535.0208333333339</v>
      </c>
      <c r="F154" s="5">
        <v>108154</v>
      </c>
      <c r="G154" t="s">
        <v>18</v>
      </c>
      <c r="H154" t="s">
        <v>23</v>
      </c>
      <c r="I154" t="s">
        <v>113</v>
      </c>
      <c r="J154" t="s">
        <v>320</v>
      </c>
      <c r="K154" s="10">
        <f>F154/(Q154*174*12)</f>
        <v>9.8870097815156814</v>
      </c>
      <c r="L154" s="3">
        <v>15.0193359468905</v>
      </c>
      <c r="M154" s="2">
        <v>0.49262655090528601</v>
      </c>
      <c r="N154" s="1">
        <v>0.60704022988505701</v>
      </c>
      <c r="O154" s="1">
        <v>2.8965517241379302</v>
      </c>
      <c r="P154" s="1">
        <v>1.73539272030651</v>
      </c>
      <c r="Q154" s="19">
        <v>5.2389846743295001</v>
      </c>
      <c r="R154" s="1">
        <v>1.1168582375478899</v>
      </c>
      <c r="S154" s="16">
        <f>Q154+R154</f>
        <v>6.3558429118773905</v>
      </c>
      <c r="T154" s="1">
        <v>0.16163793103448301</v>
      </c>
      <c r="U154" s="1">
        <v>5.2536037420405446</v>
      </c>
      <c r="V154" s="1">
        <v>-1.4619067711039199E-2</v>
      </c>
      <c r="W154" s="7">
        <v>0</v>
      </c>
      <c r="X154" s="6">
        <f>IF(W154&lt;=-0.65,-1,IF(W154&gt;=0.65,ROUND(W154,0),0))</f>
        <v>0</v>
      </c>
    </row>
    <row r="155" spans="1:24" x14ac:dyDescent="0.2">
      <c r="A155">
        <v>230</v>
      </c>
      <c r="B155" s="4">
        <v>459664.17</v>
      </c>
      <c r="C155" s="9">
        <f>B155/12</f>
        <v>38305.347499999996</v>
      </c>
      <c r="D155" s="4">
        <v>37665.18</v>
      </c>
      <c r="E155" s="4">
        <v>3138.7649999999999</v>
      </c>
      <c r="F155" s="5">
        <v>20114</v>
      </c>
      <c r="G155" t="s">
        <v>208</v>
      </c>
      <c r="H155" t="s">
        <v>31</v>
      </c>
      <c r="I155" t="s">
        <v>232</v>
      </c>
      <c r="J155" t="s">
        <v>175</v>
      </c>
      <c r="K155" s="10">
        <f>F155/(Q155*174*12)</f>
        <v>5.7125816529394973</v>
      </c>
      <c r="L155" s="3">
        <v>22.852946703788401</v>
      </c>
      <c r="M155" s="2">
        <v>0.627304647216684</v>
      </c>
      <c r="N155" s="1">
        <v>0.83955938697318</v>
      </c>
      <c r="O155" s="1">
        <v>0.84674329501915702</v>
      </c>
      <c r="P155" s="1">
        <v>0</v>
      </c>
      <c r="Q155" s="19">
        <v>1.6863026819923399</v>
      </c>
      <c r="R155" s="1">
        <v>0.21839080459770099</v>
      </c>
      <c r="S155" s="16">
        <f>Q155+R155</f>
        <v>1.9046934865900409</v>
      </c>
      <c r="T155" s="1" t="s">
        <v>388</v>
      </c>
      <c r="U155" s="1">
        <v>1.3536471538314201</v>
      </c>
      <c r="V155" s="1">
        <v>0.33265552816091998</v>
      </c>
      <c r="W155" s="7">
        <v>0.18602585659822099</v>
      </c>
      <c r="X155" s="6">
        <f>IF(W155&lt;=-0.65,-1,IF(W155&gt;=0.65,ROUND(W155,0),0))</f>
        <v>0</v>
      </c>
    </row>
    <row r="156" spans="1:24" x14ac:dyDescent="0.2">
      <c r="A156">
        <v>236</v>
      </c>
      <c r="B156" s="4">
        <v>1990939.21</v>
      </c>
      <c r="C156" s="9">
        <f>B156/12</f>
        <v>165911.60083333333</v>
      </c>
      <c r="D156" s="4">
        <v>106315.04</v>
      </c>
      <c r="E156" s="4">
        <v>8859.5866666666661</v>
      </c>
      <c r="F156" s="5">
        <v>85547</v>
      </c>
      <c r="G156" t="s">
        <v>136</v>
      </c>
      <c r="H156" t="s">
        <v>21</v>
      </c>
      <c r="I156" t="s">
        <v>170</v>
      </c>
      <c r="J156" t="s">
        <v>316</v>
      </c>
      <c r="K156" s="10">
        <f>F156/(Q156*174*12)</f>
        <v>7.1164628566674946</v>
      </c>
      <c r="L156" s="3">
        <v>23.273045343495401</v>
      </c>
      <c r="M156" s="2">
        <v>0.79041002964625895</v>
      </c>
      <c r="N156" s="1">
        <v>0.84913793103448298</v>
      </c>
      <c r="O156" s="1">
        <v>2.48084291187739</v>
      </c>
      <c r="P156" s="1">
        <v>2.4272030651340999</v>
      </c>
      <c r="Q156" s="19">
        <v>5.7571839080459801</v>
      </c>
      <c r="R156" s="1">
        <v>0.97916666666666696</v>
      </c>
      <c r="S156" s="16">
        <f>Q156+R156</f>
        <v>6.7363505747126471</v>
      </c>
      <c r="T156" s="1">
        <v>0.10536398467433</v>
      </c>
      <c r="U156" s="1">
        <v>6.2955995703544101</v>
      </c>
      <c r="V156" s="1">
        <v>-0.53841566230842897</v>
      </c>
      <c r="W156" s="7">
        <v>-0.34085504666740002</v>
      </c>
      <c r="X156" s="6">
        <f>IF(W156&lt;=-0.65,-1,IF(W156&gt;=0.65,ROUND(W156,0),0))</f>
        <v>0</v>
      </c>
    </row>
    <row r="157" spans="1:24" x14ac:dyDescent="0.2">
      <c r="A157">
        <v>238</v>
      </c>
      <c r="B157" s="4">
        <v>585069.37</v>
      </c>
      <c r="C157" s="9">
        <f>B157/12</f>
        <v>48755.780833333331</v>
      </c>
      <c r="D157" s="4">
        <v>57026</v>
      </c>
      <c r="E157" s="4">
        <v>4752.166666666667</v>
      </c>
      <c r="F157" s="5">
        <v>39481</v>
      </c>
      <c r="G157" t="s">
        <v>208</v>
      </c>
      <c r="H157" t="s">
        <v>21</v>
      </c>
      <c r="I157" t="s">
        <v>215</v>
      </c>
      <c r="J157" t="s">
        <v>316</v>
      </c>
      <c r="K157" s="10">
        <f>F157/(Q157*174*12)</f>
        <v>5.5419708029197006</v>
      </c>
      <c r="L157" s="3">
        <v>14.8190109166434</v>
      </c>
      <c r="M157" s="2">
        <v>0.51442318711711099</v>
      </c>
      <c r="N157" s="1">
        <v>0.78879310344827602</v>
      </c>
      <c r="O157" s="1">
        <v>0.88194444444444497</v>
      </c>
      <c r="P157" s="1">
        <v>1.7411398467432999</v>
      </c>
      <c r="Q157" s="19">
        <v>3.4118773946360199</v>
      </c>
      <c r="R157" s="1">
        <v>0.71479885057471304</v>
      </c>
      <c r="S157" s="16">
        <f>Q157+R157</f>
        <v>4.1266762452107333</v>
      </c>
      <c r="T157" s="1">
        <v>9.67432950191571E-2</v>
      </c>
      <c r="U157" s="1">
        <v>2.6570221378352499</v>
      </c>
      <c r="V157" s="1">
        <v>0.75485525680076604</v>
      </c>
      <c r="W157" s="7">
        <v>0.77999650356543504</v>
      </c>
      <c r="X157" s="6">
        <f>IF(W157&lt;=-0.65,-1,IF(W157&gt;=0.65,ROUND(W157,0),0))</f>
        <v>1</v>
      </c>
    </row>
    <row r="158" spans="1:24" x14ac:dyDescent="0.2">
      <c r="A158">
        <v>239</v>
      </c>
      <c r="B158" s="4">
        <v>707565.22</v>
      </c>
      <c r="C158" s="9">
        <f>B158/12</f>
        <v>58963.768333333333</v>
      </c>
      <c r="D158" s="4">
        <v>43424.93</v>
      </c>
      <c r="E158" s="4">
        <v>3618.7441666666668</v>
      </c>
      <c r="F158" s="5">
        <v>29031</v>
      </c>
      <c r="G158" t="s">
        <v>136</v>
      </c>
      <c r="H158" t="s">
        <v>46</v>
      </c>
      <c r="I158" t="s">
        <v>171</v>
      </c>
      <c r="J158" t="s">
        <v>175</v>
      </c>
      <c r="K158" s="10">
        <f>F158/(Q158*174*12)</f>
        <v>7.8557705317277904</v>
      </c>
      <c r="L158" s="3">
        <v>24.372747063483899</v>
      </c>
      <c r="M158" s="2">
        <v>0.63453678517437595</v>
      </c>
      <c r="N158" s="1">
        <v>0.79310344827586199</v>
      </c>
      <c r="O158" s="1">
        <v>0.97677203065134099</v>
      </c>
      <c r="P158" s="1">
        <v>0</v>
      </c>
      <c r="Q158" s="19">
        <v>1.7698754789272</v>
      </c>
      <c r="R158" s="1">
        <v>0.49425287356321801</v>
      </c>
      <c r="S158" s="16">
        <f>Q158+R158</f>
        <v>2.2641283524904181</v>
      </c>
      <c r="T158" s="1">
        <v>0.21048850574712599</v>
      </c>
      <c r="U158" s="1">
        <v>2.1364577498563202</v>
      </c>
      <c r="V158" s="1">
        <v>-0.36658227092911899</v>
      </c>
      <c r="W158" s="7">
        <v>-0.18406186426474699</v>
      </c>
      <c r="X158" s="6">
        <f>IF(W158&lt;=-0.65,-1,IF(W158&gt;=0.65,ROUND(W158,0),0))</f>
        <v>0</v>
      </c>
    </row>
    <row r="159" spans="1:24" x14ac:dyDescent="0.2">
      <c r="A159">
        <v>240</v>
      </c>
      <c r="B159" s="4">
        <v>1310210.55</v>
      </c>
      <c r="C159" s="9">
        <f>B159/12</f>
        <v>109184.21250000001</v>
      </c>
      <c r="D159" s="4">
        <v>66371.95</v>
      </c>
      <c r="E159" s="4">
        <v>5530.9958333333334</v>
      </c>
      <c r="F159" s="5">
        <v>34700</v>
      </c>
      <c r="G159" t="s">
        <v>136</v>
      </c>
      <c r="H159" t="s">
        <v>98</v>
      </c>
      <c r="I159" t="s">
        <v>172</v>
      </c>
      <c r="J159" t="s">
        <v>357</v>
      </c>
      <c r="K159" s="10">
        <f>F159/(Q159*174*12)</f>
        <v>5.0086605080831399</v>
      </c>
      <c r="L159" s="3">
        <v>37.7582291066282</v>
      </c>
      <c r="M159" s="2">
        <v>0.851579526664626</v>
      </c>
      <c r="N159" s="1">
        <v>1.0086206896551699</v>
      </c>
      <c r="O159" s="1">
        <v>0.67217432950191602</v>
      </c>
      <c r="P159" s="1">
        <v>1.63721264367816</v>
      </c>
      <c r="Q159" s="19">
        <v>3.3180076628352499</v>
      </c>
      <c r="R159" s="1">
        <v>0.88888888888888895</v>
      </c>
      <c r="S159" s="16">
        <f>Q159+R159</f>
        <v>4.2068965517241388</v>
      </c>
      <c r="T159" s="1">
        <v>0.48443486590038298</v>
      </c>
      <c r="U159" s="1">
        <v>2.5536524377394598</v>
      </c>
      <c r="V159" s="1">
        <v>0.76435522509578502</v>
      </c>
      <c r="W159" s="7">
        <v>0.50936687978780804</v>
      </c>
      <c r="X159" s="6">
        <f>IF(W159&lt;=-0.65,-1,IF(W159&gt;=0.65,ROUND(W159,0),0))</f>
        <v>0</v>
      </c>
    </row>
    <row r="160" spans="1:24" x14ac:dyDescent="0.2">
      <c r="A160">
        <v>241</v>
      </c>
      <c r="B160" s="4">
        <v>1370745.42</v>
      </c>
      <c r="C160" s="9">
        <f>B160/12</f>
        <v>114228.78499999999</v>
      </c>
      <c r="D160" s="4">
        <v>77293.77</v>
      </c>
      <c r="E160" s="4">
        <v>6441.1475</v>
      </c>
      <c r="F160" s="5">
        <v>67242</v>
      </c>
      <c r="G160" t="s">
        <v>208</v>
      </c>
      <c r="H160" t="s">
        <v>54</v>
      </c>
      <c r="I160" t="s">
        <v>266</v>
      </c>
      <c r="J160" t="s">
        <v>380</v>
      </c>
      <c r="K160" s="10">
        <f>F160/(Q160*174*12)</f>
        <v>9.6566976627293144</v>
      </c>
      <c r="L160" s="3">
        <v>20.3852565360935</v>
      </c>
      <c r="M160" s="2">
        <v>0.65848490670134796</v>
      </c>
      <c r="N160" s="1">
        <v>0.84877873563218398</v>
      </c>
      <c r="O160" s="1">
        <v>0.90253831417624497</v>
      </c>
      <c r="P160" s="1">
        <v>1.5835727969348701</v>
      </c>
      <c r="Q160" s="19">
        <v>3.3348898467432999</v>
      </c>
      <c r="R160" s="1">
        <v>1.21659482758621</v>
      </c>
      <c r="S160" s="16">
        <f>Q160+R160</f>
        <v>4.5514846743295099</v>
      </c>
      <c r="T160" s="1">
        <v>0.11254789272030701</v>
      </c>
      <c r="U160" s="1">
        <v>4.52530286954023</v>
      </c>
      <c r="V160" s="1">
        <v>-1.1904130227969401</v>
      </c>
      <c r="W160" s="7">
        <v>-0.93159924932640503</v>
      </c>
      <c r="X160" s="6">
        <f>IF(W160&lt;=-0.65,-1,IF(W160&gt;=0.65,ROUND(W160,0),0))</f>
        <v>-1</v>
      </c>
    </row>
    <row r="161" spans="1:24" x14ac:dyDescent="0.2">
      <c r="A161">
        <v>242</v>
      </c>
      <c r="B161" s="4">
        <v>962106.73</v>
      </c>
      <c r="C161" s="9">
        <f>B161/12</f>
        <v>80175.560833333337</v>
      </c>
      <c r="D161" s="4">
        <v>72039.17</v>
      </c>
      <c r="E161" s="4">
        <v>6003.2641666666668</v>
      </c>
      <c r="F161" s="5">
        <v>50254</v>
      </c>
      <c r="G161" t="s">
        <v>270</v>
      </c>
      <c r="H161" t="s">
        <v>43</v>
      </c>
      <c r="I161" t="s">
        <v>217</v>
      </c>
      <c r="J161" t="s">
        <v>217</v>
      </c>
      <c r="K161" s="10">
        <f>F161/(Q161*174*12)</f>
        <v>6.3490098228104017</v>
      </c>
      <c r="L161" s="3">
        <v>19.144878616627501</v>
      </c>
      <c r="M161" s="2">
        <v>0.62151152398653298</v>
      </c>
      <c r="N161" s="1">
        <v>0.80699233716475105</v>
      </c>
      <c r="O161" s="1">
        <v>0.94228927203065105</v>
      </c>
      <c r="P161" s="1">
        <v>2.0415469348659001</v>
      </c>
      <c r="Q161" s="19">
        <v>3.7908285440612999</v>
      </c>
      <c r="R161" s="1">
        <v>0.926843869731801</v>
      </c>
      <c r="S161" s="16">
        <f>Q161+R161</f>
        <v>4.7176724137931005</v>
      </c>
      <c r="T161" s="1">
        <v>0</v>
      </c>
      <c r="U161" s="1">
        <v>3.5691363147509598</v>
      </c>
      <c r="V161" s="1">
        <v>0.22169222931034499</v>
      </c>
      <c r="W161" s="7">
        <v>6.6400830157999802E-2</v>
      </c>
      <c r="X161" s="6">
        <f>IF(W161&lt;=-0.65,-1,IF(W161&gt;=0.65,ROUND(W161,0),0))</f>
        <v>0</v>
      </c>
    </row>
    <row r="162" spans="1:24" x14ac:dyDescent="0.2">
      <c r="A162">
        <v>243</v>
      </c>
      <c r="B162" s="4">
        <v>462026.53</v>
      </c>
      <c r="C162" s="9">
        <f>B162/12</f>
        <v>38502.210833333338</v>
      </c>
      <c r="D162" s="4">
        <v>37602.93</v>
      </c>
      <c r="E162" s="4">
        <v>3133.5774999999999</v>
      </c>
      <c r="F162" s="5">
        <v>18498</v>
      </c>
      <c r="G162" t="s">
        <v>136</v>
      </c>
      <c r="H162" t="s">
        <v>19</v>
      </c>
      <c r="I162" t="s">
        <v>173</v>
      </c>
      <c r="J162" t="s">
        <v>310</v>
      </c>
      <c r="K162" s="10">
        <f>F162/(Q162*174*12)</f>
        <v>6.465571478504013</v>
      </c>
      <c r="L162" s="3">
        <v>24.977107254838401</v>
      </c>
      <c r="M162" s="2">
        <v>0.75250230760558301</v>
      </c>
      <c r="N162" s="1">
        <v>0.89319923371647503</v>
      </c>
      <c r="O162" s="1">
        <v>0.45498084291187701</v>
      </c>
      <c r="P162" s="1">
        <v>2.2030651340996198E-2</v>
      </c>
      <c r="Q162" s="19">
        <v>1.3702107279693501</v>
      </c>
      <c r="R162" s="1">
        <v>7.1599616858237597E-2</v>
      </c>
      <c r="S162" s="16">
        <f>Q162+R162</f>
        <v>1.4418103448275876</v>
      </c>
      <c r="T162" s="1">
        <v>0.47701149425287398</v>
      </c>
      <c r="U162" s="1">
        <v>1.36131016695402</v>
      </c>
      <c r="V162" s="1">
        <v>8.9005610153254401E-3</v>
      </c>
      <c r="W162" s="7">
        <v>0</v>
      </c>
      <c r="X162" s="6">
        <f>IF(W162&lt;=-0.65,-1,IF(W162&gt;=0.65,ROUND(W162,0),0))</f>
        <v>0</v>
      </c>
    </row>
    <row r="163" spans="1:24" x14ac:dyDescent="0.2">
      <c r="A163">
        <v>246</v>
      </c>
      <c r="B163" s="4">
        <v>923887.45</v>
      </c>
      <c r="C163" s="9">
        <f>B163/12</f>
        <v>76990.620833333334</v>
      </c>
      <c r="D163" s="4">
        <v>56349.75</v>
      </c>
      <c r="E163" s="4">
        <v>4695.8125</v>
      </c>
      <c r="F163" s="5">
        <v>33610</v>
      </c>
      <c r="G163" t="s">
        <v>136</v>
      </c>
      <c r="H163" t="s">
        <v>31</v>
      </c>
      <c r="I163" t="s">
        <v>174</v>
      </c>
      <c r="J163" t="s">
        <v>175</v>
      </c>
      <c r="K163" s="10">
        <f>F163/(Q163*174*12)</f>
        <v>6.4956273856114413</v>
      </c>
      <c r="L163" s="3">
        <v>27.488469205593599</v>
      </c>
      <c r="M163" s="2">
        <v>0.79759443642188199</v>
      </c>
      <c r="N163" s="1">
        <v>0.12595785440613</v>
      </c>
      <c r="O163" s="1">
        <v>2.3521312260536398</v>
      </c>
      <c r="P163" s="1">
        <v>0</v>
      </c>
      <c r="Q163" s="19">
        <v>2.4780890804597702</v>
      </c>
      <c r="R163" s="1">
        <v>0.54992816091954</v>
      </c>
      <c r="S163" s="16">
        <f>Q163+R163</f>
        <v>3.0280172413793101</v>
      </c>
      <c r="T163" s="1">
        <v>3.9750957854406098E-2</v>
      </c>
      <c r="U163" s="1">
        <v>2.47343684243295</v>
      </c>
      <c r="V163" s="1">
        <v>4.6522380268196901E-3</v>
      </c>
      <c r="W163" s="7">
        <v>0</v>
      </c>
      <c r="X163" s="6">
        <f>IF(W163&lt;=-0.65,-1,IF(W163&gt;=0.65,ROUND(W163,0),0))</f>
        <v>0</v>
      </c>
    </row>
    <row r="164" spans="1:24" x14ac:dyDescent="0.2">
      <c r="A164">
        <v>248</v>
      </c>
      <c r="B164" s="4">
        <v>2266336.2799999998</v>
      </c>
      <c r="C164" s="9">
        <f>B164/12</f>
        <v>188861.35666666666</v>
      </c>
      <c r="D164" s="4">
        <v>114399.3</v>
      </c>
      <c r="E164" s="4">
        <v>9533.2749999999996</v>
      </c>
      <c r="F164" s="5">
        <v>60315</v>
      </c>
      <c r="G164" t="s">
        <v>136</v>
      </c>
      <c r="H164" t="s">
        <v>54</v>
      </c>
      <c r="I164" t="s">
        <v>175</v>
      </c>
      <c r="J164" t="s">
        <v>175</v>
      </c>
      <c r="K164" s="10">
        <f>F164/(Q164*174*12)</f>
        <v>5.1571117096319057</v>
      </c>
      <c r="L164" s="3">
        <v>37.575002569841701</v>
      </c>
      <c r="M164" s="2">
        <v>0.78234063746268101</v>
      </c>
      <c r="N164" s="1">
        <v>0.78041187739463602</v>
      </c>
      <c r="O164" s="1">
        <v>3.2794540229885101</v>
      </c>
      <c r="P164" s="1">
        <v>1.5414272030651299</v>
      </c>
      <c r="Q164" s="19">
        <v>5.6012931034482802</v>
      </c>
      <c r="R164" s="1">
        <v>1.0589080459770099</v>
      </c>
      <c r="S164" s="16">
        <f>Q164+R164</f>
        <v>6.6602011494252906</v>
      </c>
      <c r="T164" s="1">
        <v>0.10201149425287399</v>
      </c>
      <c r="U164" s="1">
        <v>4.4387189274425296</v>
      </c>
      <c r="V164" s="1">
        <v>1.16257417600575</v>
      </c>
      <c r="W164" s="7">
        <v>0.91051537022006102</v>
      </c>
      <c r="X164" s="6">
        <f>IF(W164&lt;=-0.65,-1,IF(W164&gt;=0.65,ROUND(W164,0),0))</f>
        <v>1</v>
      </c>
    </row>
    <row r="165" spans="1:24" x14ac:dyDescent="0.2">
      <c r="A165">
        <v>249</v>
      </c>
      <c r="B165" s="4">
        <v>1336326.83</v>
      </c>
      <c r="C165" s="9">
        <f>B165/12</f>
        <v>111360.56916666667</v>
      </c>
      <c r="D165" s="4">
        <v>78897.5</v>
      </c>
      <c r="E165" s="4">
        <v>6574.791666666667</v>
      </c>
      <c r="F165" s="5">
        <v>44382</v>
      </c>
      <c r="G165" t="s">
        <v>208</v>
      </c>
      <c r="H165" t="s">
        <v>46</v>
      </c>
      <c r="I165" t="s">
        <v>231</v>
      </c>
      <c r="J165" t="s">
        <v>175</v>
      </c>
      <c r="K165" s="10">
        <f>F165/(Q165*174*12)</f>
        <v>6.3967138687709371</v>
      </c>
      <c r="L165" s="3">
        <v>30.109657744130502</v>
      </c>
      <c r="M165" s="2">
        <v>0.69310869108270501</v>
      </c>
      <c r="N165" s="1">
        <v>0.56848659003831403</v>
      </c>
      <c r="O165" s="1">
        <v>1.9076867816092</v>
      </c>
      <c r="P165" s="1">
        <v>0.84674329501915702</v>
      </c>
      <c r="Q165" s="19">
        <v>3.3229166666666701</v>
      </c>
      <c r="R165" s="1">
        <v>0.63817049808429105</v>
      </c>
      <c r="S165" s="16">
        <f>Q165+R165</f>
        <v>3.9610871647509613</v>
      </c>
      <c r="T165" s="1">
        <v>0.42133620689655199</v>
      </c>
      <c r="U165" s="1">
        <v>2.9868533350574702</v>
      </c>
      <c r="V165" s="1">
        <v>0.33606333160919499</v>
      </c>
      <c r="W165" s="7">
        <v>0</v>
      </c>
      <c r="X165" s="6">
        <f>IF(W165&lt;=-0.65,-1,IF(W165&gt;=0.65,ROUND(W165,0),0))</f>
        <v>0</v>
      </c>
    </row>
    <row r="166" spans="1:24" x14ac:dyDescent="0.2">
      <c r="A166">
        <v>251</v>
      </c>
      <c r="B166" s="4">
        <v>1415429.65</v>
      </c>
      <c r="C166" s="9">
        <f>B166/12</f>
        <v>117952.47083333333</v>
      </c>
      <c r="D166" s="4">
        <v>93036.73</v>
      </c>
      <c r="E166" s="4">
        <v>7753.060833333333</v>
      </c>
      <c r="F166" s="5">
        <v>86564</v>
      </c>
      <c r="G166" t="s">
        <v>18</v>
      </c>
      <c r="H166" t="s">
        <v>31</v>
      </c>
      <c r="I166" t="s">
        <v>114</v>
      </c>
      <c r="J166" t="s">
        <v>339</v>
      </c>
      <c r="K166" s="10">
        <f>F166/(Q166*174*12)</f>
        <v>9.4838674335798441</v>
      </c>
      <c r="L166" s="3">
        <v>16.351250519846602</v>
      </c>
      <c r="M166" s="2">
        <v>0.45866757842751099</v>
      </c>
      <c r="N166" s="1">
        <v>1.0079022988505699</v>
      </c>
      <c r="O166" s="1">
        <v>1.46958812260536</v>
      </c>
      <c r="P166" s="1">
        <v>1.89391762452107</v>
      </c>
      <c r="Q166" s="19">
        <v>4.3714080459770104</v>
      </c>
      <c r="R166" s="1">
        <v>0.93678160919540199</v>
      </c>
      <c r="S166" s="16">
        <f>Q166+R166</f>
        <v>5.3081896551724128</v>
      </c>
      <c r="T166" s="1">
        <v>0.65804597701149403</v>
      </c>
      <c r="U166" s="1">
        <v>4.3603246685765198</v>
      </c>
      <c r="V166" s="1">
        <v>1.10833774004924E-2</v>
      </c>
      <c r="W166" s="7">
        <v>-2.9623599945910499E-4</v>
      </c>
      <c r="X166" s="6">
        <f>IF(W166&lt;=-0.65,-1,IF(W166&gt;=0.65,ROUND(W166,0),0))</f>
        <v>0</v>
      </c>
    </row>
    <row r="167" spans="1:24" x14ac:dyDescent="0.2">
      <c r="A167">
        <v>252</v>
      </c>
      <c r="B167" s="4">
        <v>643264.53</v>
      </c>
      <c r="C167" s="9">
        <f>B167/12</f>
        <v>53605.377500000002</v>
      </c>
      <c r="D167" s="4">
        <v>55017.599999999999</v>
      </c>
      <c r="E167" s="4">
        <v>4584.8</v>
      </c>
      <c r="F167" s="5">
        <v>32842</v>
      </c>
      <c r="G167" t="s">
        <v>208</v>
      </c>
      <c r="H167" t="s">
        <v>33</v>
      </c>
      <c r="I167" t="s">
        <v>235</v>
      </c>
      <c r="J167" t="s">
        <v>235</v>
      </c>
      <c r="K167" s="10">
        <f>F167/(Q167*174*12)</f>
        <v>6.6616632860040603</v>
      </c>
      <c r="L167" s="3">
        <v>19.586643018086601</v>
      </c>
      <c r="M167" s="2">
        <v>0.591908946075419</v>
      </c>
      <c r="N167" s="1">
        <v>0.82710727969348696</v>
      </c>
      <c r="O167" s="1">
        <v>0.783524904214559</v>
      </c>
      <c r="P167" s="1">
        <v>0.75047892720306497</v>
      </c>
      <c r="Q167" s="19">
        <v>2.3611111111111098</v>
      </c>
      <c r="R167" s="1">
        <v>0.47270114942528701</v>
      </c>
      <c r="S167" s="16">
        <f>Q167+R167</f>
        <v>2.8338122605363969</v>
      </c>
      <c r="T167" s="1">
        <v>5.7471264367816098E-2</v>
      </c>
      <c r="U167" s="1">
        <v>2.2102257047892699</v>
      </c>
      <c r="V167" s="1">
        <v>0.150885406321839</v>
      </c>
      <c r="W167" s="7">
        <v>9.3919582737809107E-2</v>
      </c>
      <c r="X167" s="6">
        <f>IF(W167&lt;=-0.65,-1,IF(W167&gt;=0.65,ROUND(W167,0),0))</f>
        <v>0</v>
      </c>
    </row>
    <row r="168" spans="1:24" x14ac:dyDescent="0.2">
      <c r="A168">
        <v>254</v>
      </c>
      <c r="B168" s="4">
        <v>640869</v>
      </c>
      <c r="C168" s="9">
        <f>B168/12</f>
        <v>53405.75</v>
      </c>
      <c r="D168" s="4">
        <v>52274.97</v>
      </c>
      <c r="E168" s="4">
        <v>4356.2475000000004</v>
      </c>
      <c r="F168" s="5">
        <v>30679</v>
      </c>
      <c r="G168" t="s">
        <v>136</v>
      </c>
      <c r="H168" t="s">
        <v>19</v>
      </c>
      <c r="I168" t="s">
        <v>176</v>
      </c>
      <c r="J168" t="s">
        <v>358</v>
      </c>
      <c r="K168" s="10">
        <f>F168/(Q168*174*12)</f>
        <v>6.7337576821773508</v>
      </c>
      <c r="L168" s="3">
        <v>20.889500961569802</v>
      </c>
      <c r="M168" s="2">
        <v>0.75794376073737402</v>
      </c>
      <c r="N168" s="1">
        <v>0.62068965517241403</v>
      </c>
      <c r="O168" s="1">
        <v>0.89415708812260497</v>
      </c>
      <c r="P168" s="1">
        <v>0.66714559386973205</v>
      </c>
      <c r="Q168" s="19">
        <v>2.1819923371647501</v>
      </c>
      <c r="R168" s="1">
        <v>1.0917145593869699</v>
      </c>
      <c r="S168" s="16">
        <f>Q168+R168</f>
        <v>3.2737068965517198</v>
      </c>
      <c r="T168" s="1">
        <v>0.109195402298851</v>
      </c>
      <c r="U168" s="1">
        <v>2.2577378425766299</v>
      </c>
      <c r="V168" s="1">
        <v>-7.5745505411877606E-2</v>
      </c>
      <c r="W168" s="7">
        <v>0</v>
      </c>
      <c r="X168" s="6">
        <f>IF(W168&lt;=-0.65,-1,IF(W168&gt;=0.65,ROUND(W168,0),0))</f>
        <v>0</v>
      </c>
    </row>
    <row r="169" spans="1:24" x14ac:dyDescent="0.2">
      <c r="A169">
        <v>258</v>
      </c>
      <c r="B169" s="4">
        <v>1256894.6200000001</v>
      </c>
      <c r="C169" s="9">
        <f>B169/12</f>
        <v>104741.21833333334</v>
      </c>
      <c r="D169" s="4">
        <v>80350.259999999995</v>
      </c>
      <c r="E169" s="4">
        <v>6695.8549999999996</v>
      </c>
      <c r="F169" s="5">
        <v>53373</v>
      </c>
      <c r="G169" t="s">
        <v>208</v>
      </c>
      <c r="H169" t="s">
        <v>40</v>
      </c>
      <c r="I169" t="s">
        <v>244</v>
      </c>
      <c r="J169" t="s">
        <v>359</v>
      </c>
      <c r="K169" s="10">
        <f>F169/(Q169*174*12)</f>
        <v>7.2431552162849799</v>
      </c>
      <c r="L169" s="3">
        <v>23.549259363348501</v>
      </c>
      <c r="M169" s="2">
        <v>0.68627516282948198</v>
      </c>
      <c r="N169" s="1">
        <v>0.86111111111111105</v>
      </c>
      <c r="O169" s="1">
        <v>1.80854885057471</v>
      </c>
      <c r="P169" s="1">
        <v>0.85943486590038298</v>
      </c>
      <c r="Q169" s="19">
        <v>3.52909482758621</v>
      </c>
      <c r="R169" s="1">
        <v>0.78735632183908</v>
      </c>
      <c r="S169" s="16">
        <f>Q169+R169</f>
        <v>4.3164511494252897</v>
      </c>
      <c r="T169" s="1">
        <v>1.70019157088123E-2</v>
      </c>
      <c r="U169" s="1">
        <v>3.5919364393678199</v>
      </c>
      <c r="V169" s="1">
        <v>-6.2841611781609505E-2</v>
      </c>
      <c r="W169" s="7">
        <v>0</v>
      </c>
      <c r="X169" s="6">
        <f>IF(W169&lt;=-0.65,-1,IF(W169&gt;=0.65,ROUND(W169,0),0))</f>
        <v>0</v>
      </c>
    </row>
    <row r="170" spans="1:24" x14ac:dyDescent="0.2">
      <c r="A170">
        <v>259</v>
      </c>
      <c r="B170" s="4">
        <v>580461.81999999995</v>
      </c>
      <c r="C170" s="9">
        <f>B170/12</f>
        <v>48371.818333333329</v>
      </c>
      <c r="D170" s="4">
        <v>48504</v>
      </c>
      <c r="E170" s="4">
        <v>4042</v>
      </c>
      <c r="F170" s="5">
        <v>33000</v>
      </c>
      <c r="G170" t="s">
        <v>136</v>
      </c>
      <c r="H170" t="s">
        <v>40</v>
      </c>
      <c r="I170" t="s">
        <v>177</v>
      </c>
      <c r="J170" t="s">
        <v>359</v>
      </c>
      <c r="K170" s="10">
        <f>F170/(Q170*174*12)</f>
        <v>6.0414664286695015</v>
      </c>
      <c r="L170" s="3">
        <v>17.589752121212101</v>
      </c>
      <c r="M170" s="2">
        <v>0.66476949336650604</v>
      </c>
      <c r="N170" s="1">
        <v>0.84698275862068995</v>
      </c>
      <c r="O170" s="1">
        <v>0.88936781609195403</v>
      </c>
      <c r="P170" s="1">
        <v>0.87966954022988497</v>
      </c>
      <c r="Q170" s="19">
        <v>2.61602011494253</v>
      </c>
      <c r="R170" s="1">
        <v>0.27310823754789298</v>
      </c>
      <c r="S170" s="16">
        <f>Q170+R170</f>
        <v>2.889128352490423</v>
      </c>
      <c r="T170" s="1" t="s">
        <v>388</v>
      </c>
      <c r="U170" s="1">
        <v>2.42854554597701</v>
      </c>
      <c r="V170" s="1">
        <v>0.18747456896551701</v>
      </c>
      <c r="W170" s="7">
        <v>0.12520030126655199</v>
      </c>
      <c r="X170" s="6">
        <f>IF(W170&lt;=-0.65,-1,IF(W170&gt;=0.65,ROUND(W170,0),0))</f>
        <v>0</v>
      </c>
    </row>
    <row r="171" spans="1:24" x14ac:dyDescent="0.2">
      <c r="A171">
        <v>261</v>
      </c>
      <c r="B171" s="4">
        <v>653959.5</v>
      </c>
      <c r="C171" s="9">
        <f>B171/12</f>
        <v>54496.625</v>
      </c>
      <c r="D171" s="4">
        <v>52915.59</v>
      </c>
      <c r="E171" s="4">
        <v>4409.6324999999997</v>
      </c>
      <c r="F171" s="5">
        <v>38000</v>
      </c>
      <c r="G171" t="s">
        <v>208</v>
      </c>
      <c r="H171" t="s">
        <v>23</v>
      </c>
      <c r="I171" t="s">
        <v>253</v>
      </c>
      <c r="J171" t="s">
        <v>320</v>
      </c>
      <c r="K171" s="10">
        <f>F171/(Q171*174*12)</f>
        <v>7.8609846917666468</v>
      </c>
      <c r="L171" s="3">
        <v>17.209460526315802</v>
      </c>
      <c r="M171" s="2">
        <v>0.59320843263229595</v>
      </c>
      <c r="N171" s="1">
        <v>0.70282567049808398</v>
      </c>
      <c r="O171" s="1">
        <v>1.4379789272030701</v>
      </c>
      <c r="P171" s="1">
        <v>0.17432950191570901</v>
      </c>
      <c r="Q171" s="19">
        <v>2.3151340996168601</v>
      </c>
      <c r="R171" s="1">
        <v>0.52298850574712596</v>
      </c>
      <c r="S171" s="16">
        <f>Q171+R171</f>
        <v>2.8381226053639859</v>
      </c>
      <c r="T171" s="1">
        <v>0.24185823754789301</v>
      </c>
      <c r="U171" s="1">
        <v>2.5573526819923398</v>
      </c>
      <c r="V171" s="1">
        <v>-0.242218582375479</v>
      </c>
      <c r="W171" s="7">
        <v>0</v>
      </c>
      <c r="X171" s="6">
        <f>IF(W171&lt;=-0.65,-1,IF(W171&gt;=0.65,ROUND(W171,0),0))</f>
        <v>0</v>
      </c>
    </row>
    <row r="172" spans="1:24" x14ac:dyDescent="0.2">
      <c r="A172">
        <v>262</v>
      </c>
      <c r="B172" s="4">
        <v>1269671.6299999999</v>
      </c>
      <c r="C172" s="9">
        <f>B172/12</f>
        <v>105805.96916666666</v>
      </c>
      <c r="D172" s="4">
        <v>43191.87</v>
      </c>
      <c r="E172" s="4">
        <v>3599.3225000000002</v>
      </c>
      <c r="F172" s="5">
        <v>30704</v>
      </c>
      <c r="G172" t="s">
        <v>136</v>
      </c>
      <c r="H172" t="s">
        <v>21</v>
      </c>
      <c r="I172" t="s">
        <v>178</v>
      </c>
      <c r="J172" t="s">
        <v>178</v>
      </c>
      <c r="K172" s="10">
        <f>F172/(Q172*174*12)</f>
        <v>5.8278447375913425</v>
      </c>
      <c r="L172" s="3">
        <v>41.351994202709697</v>
      </c>
      <c r="M172" s="2">
        <v>0.88335046125272598</v>
      </c>
      <c r="N172" s="1">
        <v>0.83477011494252895</v>
      </c>
      <c r="O172" s="1">
        <v>0.65972222222222199</v>
      </c>
      <c r="P172" s="1">
        <v>1.0287356321839101</v>
      </c>
      <c r="Q172" s="19">
        <v>2.5232279693486599</v>
      </c>
      <c r="R172" s="1">
        <v>0.74233716475095801</v>
      </c>
      <c r="S172" s="16">
        <f>Q172+R172</f>
        <v>3.2655651340996181</v>
      </c>
      <c r="T172" s="1">
        <v>1.38888888888889E-2</v>
      </c>
      <c r="U172" s="1">
        <v>2.2595776498084299</v>
      </c>
      <c r="V172" s="1">
        <v>0.26365031954022999</v>
      </c>
      <c r="W172" s="7">
        <v>0</v>
      </c>
      <c r="X172" s="6">
        <f>IF(W172&lt;=-0.65,-1,IF(W172&gt;=0.65,ROUND(W172,0),0))</f>
        <v>0</v>
      </c>
    </row>
    <row r="173" spans="1:24" x14ac:dyDescent="0.2">
      <c r="A173">
        <v>263</v>
      </c>
      <c r="B173" s="4">
        <v>1639331.34</v>
      </c>
      <c r="C173" s="9">
        <f>B173/12</f>
        <v>136610.94500000001</v>
      </c>
      <c r="D173" s="4">
        <v>61772.4</v>
      </c>
      <c r="E173" s="4">
        <v>5147.7</v>
      </c>
      <c r="F173" s="5">
        <v>47441</v>
      </c>
      <c r="G173" t="s">
        <v>208</v>
      </c>
      <c r="H173" t="s">
        <v>35</v>
      </c>
      <c r="I173" t="s">
        <v>260</v>
      </c>
      <c r="J173" t="s">
        <v>347</v>
      </c>
      <c r="K173" s="10">
        <f>F173/(Q173*174*12)</f>
        <v>8.7119640069782314</v>
      </c>
      <c r="L173" s="3">
        <v>34.555159882801803</v>
      </c>
      <c r="M173" s="2">
        <v>0.80043801883272703</v>
      </c>
      <c r="N173" s="1">
        <v>0.82447318007662795</v>
      </c>
      <c r="O173" s="1">
        <v>0.92528735632183901</v>
      </c>
      <c r="P173" s="1">
        <v>0.85823754789272</v>
      </c>
      <c r="Q173" s="19">
        <v>2.6079980842911898</v>
      </c>
      <c r="R173" s="1">
        <v>0.36230842911877398</v>
      </c>
      <c r="S173" s="16">
        <f>Q173+R173</f>
        <v>2.9703065134099638</v>
      </c>
      <c r="T173" s="1">
        <v>0.13026819923371599</v>
      </c>
      <c r="U173" s="1">
        <v>3.1927202259578502</v>
      </c>
      <c r="V173" s="1">
        <v>-0.58472214166666703</v>
      </c>
      <c r="W173" s="7">
        <v>-0.65248043626539698</v>
      </c>
      <c r="X173" s="6">
        <f>IF(W173&lt;=-0.65,-1,IF(W173&gt;=0.65,ROUND(W173,0),0))</f>
        <v>-1</v>
      </c>
    </row>
    <row r="174" spans="1:24" x14ac:dyDescent="0.2">
      <c r="A174">
        <v>264</v>
      </c>
      <c r="B174" s="4">
        <v>337548.86</v>
      </c>
      <c r="C174" s="9">
        <f>B174/12</f>
        <v>28129.071666666667</v>
      </c>
      <c r="D174" s="4">
        <v>42565.57</v>
      </c>
      <c r="E174" s="4">
        <v>3547.1308333333332</v>
      </c>
      <c r="F174" s="5">
        <v>21186</v>
      </c>
      <c r="G174" t="s">
        <v>270</v>
      </c>
      <c r="H174" t="s">
        <v>98</v>
      </c>
      <c r="I174" t="s">
        <v>227</v>
      </c>
      <c r="J174" t="s">
        <v>227</v>
      </c>
      <c r="K174" s="10">
        <f>F174/(Q174*174*12)</f>
        <v>5.042184803950728</v>
      </c>
      <c r="L174" s="3">
        <v>15.9326375908619</v>
      </c>
      <c r="M174" s="2">
        <v>0.54681580023703802</v>
      </c>
      <c r="N174" s="1">
        <v>0.309626436781609</v>
      </c>
      <c r="O174" s="1">
        <v>0.86087164750957901</v>
      </c>
      <c r="P174" s="1">
        <v>0.841834291187739</v>
      </c>
      <c r="Q174" s="19">
        <v>2.01233237547893</v>
      </c>
      <c r="R174" s="1">
        <v>0.45102969348659</v>
      </c>
      <c r="S174" s="16">
        <f>Q174+R174</f>
        <v>2.46336206896552</v>
      </c>
      <c r="T174" s="1">
        <v>0.36685823754789298</v>
      </c>
      <c r="U174" s="1">
        <v>1.50467071206897</v>
      </c>
      <c r="V174" s="1">
        <v>0.50766166340996199</v>
      </c>
      <c r="W174" s="7">
        <v>0.34133129664669398</v>
      </c>
      <c r="X174" s="6">
        <f>IF(W174&lt;=-0.65,-1,IF(W174&gt;=0.65,ROUND(W174,0),0))</f>
        <v>0</v>
      </c>
    </row>
    <row r="175" spans="1:24" x14ac:dyDescent="0.2">
      <c r="A175">
        <v>265</v>
      </c>
      <c r="B175" s="4">
        <v>479768.42</v>
      </c>
      <c r="C175" s="9">
        <f>B175/12</f>
        <v>39980.701666666668</v>
      </c>
      <c r="D175" s="4">
        <v>67705.78</v>
      </c>
      <c r="E175" s="4">
        <v>5642.1483333333335</v>
      </c>
      <c r="F175" s="5">
        <v>33198</v>
      </c>
      <c r="G175" t="s">
        <v>270</v>
      </c>
      <c r="H175" t="s">
        <v>27</v>
      </c>
      <c r="I175" t="s">
        <v>271</v>
      </c>
      <c r="J175" t="s">
        <v>383</v>
      </c>
      <c r="K175" s="10">
        <f>F175/(Q175*174*12)</f>
        <v>4.2668208983998417</v>
      </c>
      <c r="L175" s="3">
        <v>14.451726610036699</v>
      </c>
      <c r="M175" s="2">
        <v>0.49294299112059098</v>
      </c>
      <c r="N175" s="1">
        <v>0.87404214559386995</v>
      </c>
      <c r="O175" s="1">
        <v>1.0057471264367801</v>
      </c>
      <c r="P175" s="1">
        <v>1.8465038314176201</v>
      </c>
      <c r="Q175" s="19">
        <v>3.7262931034482798</v>
      </c>
      <c r="R175" s="1">
        <v>0.41954022988505701</v>
      </c>
      <c r="S175" s="16">
        <f>Q175+R175</f>
        <v>4.1458333333333366</v>
      </c>
      <c r="T175" s="1">
        <v>0.29717432950191602</v>
      </c>
      <c r="U175" s="1">
        <v>2.3577861936781601</v>
      </c>
      <c r="V175" s="1">
        <v>1.3685069097701099</v>
      </c>
      <c r="W175" s="7">
        <v>1.17569361361253</v>
      </c>
      <c r="X175" s="6">
        <f>IF(W175&lt;=-0.65,-1,IF(W175&gt;=0.65,ROUND(W175,0),0))</f>
        <v>1</v>
      </c>
    </row>
    <row r="176" spans="1:24" x14ac:dyDescent="0.2">
      <c r="A176">
        <v>267</v>
      </c>
      <c r="B176" s="4">
        <v>1331400.3</v>
      </c>
      <c r="C176" s="9">
        <f>B176/12</f>
        <v>110950.02500000001</v>
      </c>
      <c r="D176" s="4">
        <v>83059.7</v>
      </c>
      <c r="E176" s="4">
        <v>6921.6416666666664</v>
      </c>
      <c r="F176" s="5">
        <v>91665</v>
      </c>
      <c r="G176" t="s">
        <v>208</v>
      </c>
      <c r="H176" t="s">
        <v>23</v>
      </c>
      <c r="I176" t="s">
        <v>269</v>
      </c>
      <c r="J176" t="s">
        <v>382</v>
      </c>
      <c r="K176" s="10">
        <f>F176/(Q176*174*12)</f>
        <v>9.9484480138918929</v>
      </c>
      <c r="L176" s="3">
        <v>14.524630993290801</v>
      </c>
      <c r="M176" s="2">
        <v>0.49865111942666701</v>
      </c>
      <c r="N176" s="1">
        <v>0.88912835249042099</v>
      </c>
      <c r="O176" s="1">
        <v>1.7327586206896599</v>
      </c>
      <c r="P176" s="1">
        <v>1.7909482758620701</v>
      </c>
      <c r="Q176" s="19">
        <v>4.4128352490421499</v>
      </c>
      <c r="R176" s="1">
        <v>0.55172413793103403</v>
      </c>
      <c r="S176" s="16">
        <f>Q176+R176</f>
        <v>4.9645593869731837</v>
      </c>
      <c r="T176" s="1">
        <v>7.1599616858237597E-2</v>
      </c>
      <c r="U176" s="1">
        <v>6.1689403577586202</v>
      </c>
      <c r="V176" s="1">
        <v>-1.7561051087164701</v>
      </c>
      <c r="W176" s="7">
        <v>-1.19625190523664</v>
      </c>
      <c r="X176" s="6">
        <f>IF(W176&lt;=-0.65,-1,IF(W176&gt;=0.65,ROUND(W176,0),0))</f>
        <v>-1</v>
      </c>
    </row>
    <row r="177" spans="1:24" x14ac:dyDescent="0.2">
      <c r="A177">
        <v>270</v>
      </c>
      <c r="B177" s="4">
        <v>977581.32</v>
      </c>
      <c r="C177" s="9">
        <f>B177/12</f>
        <v>81465.11</v>
      </c>
      <c r="D177" s="4">
        <v>80668.59</v>
      </c>
      <c r="E177" s="4">
        <v>6722.3824999999997</v>
      </c>
      <c r="F177" s="5">
        <v>54958</v>
      </c>
      <c r="G177" t="s">
        <v>270</v>
      </c>
      <c r="H177" t="s">
        <v>98</v>
      </c>
      <c r="I177" t="s">
        <v>179</v>
      </c>
      <c r="J177" t="s">
        <v>360</v>
      </c>
      <c r="K177" s="10">
        <f>F177/(Q177*174*12)</f>
        <v>6.4808962264150889</v>
      </c>
      <c r="L177" s="3">
        <v>17.787789220859601</v>
      </c>
      <c r="M177" s="2">
        <v>0.54956072605806305</v>
      </c>
      <c r="N177" s="1">
        <v>0.59171455938697304</v>
      </c>
      <c r="O177" s="1">
        <v>1.6147030651340999</v>
      </c>
      <c r="P177" s="1">
        <v>1.8548850574712601</v>
      </c>
      <c r="Q177" s="19">
        <v>4.0613026819923403</v>
      </c>
      <c r="R177" s="1">
        <v>0.46839080459770099</v>
      </c>
      <c r="S177" s="16">
        <f>Q177+R177</f>
        <v>4.5296934865900411</v>
      </c>
      <c r="T177" s="1">
        <v>0.12859195402298901</v>
      </c>
      <c r="U177" s="1">
        <v>3.90322349636015</v>
      </c>
      <c r="V177" s="1">
        <v>0.15807918563218501</v>
      </c>
      <c r="W177" s="7">
        <v>9.4722270409716702E-3</v>
      </c>
      <c r="X177" s="6">
        <f>IF(W177&lt;=-0.65,-1,IF(W177&gt;=0.65,ROUND(W177,0),0))</f>
        <v>0</v>
      </c>
    </row>
    <row r="178" spans="1:24" x14ac:dyDescent="0.2">
      <c r="A178">
        <v>271</v>
      </c>
      <c r="B178" s="4">
        <v>795743.71</v>
      </c>
      <c r="C178" s="9">
        <f>B178/12</f>
        <v>66311.97583333333</v>
      </c>
      <c r="D178" s="4">
        <v>68914.36</v>
      </c>
      <c r="E178" s="4">
        <v>5742.8633333333337</v>
      </c>
      <c r="F178" s="5">
        <v>44578</v>
      </c>
      <c r="G178" t="s">
        <v>208</v>
      </c>
      <c r="H178" t="s">
        <v>43</v>
      </c>
      <c r="I178" t="s">
        <v>236</v>
      </c>
      <c r="J178" t="s">
        <v>319</v>
      </c>
      <c r="K178" s="10">
        <f>F178/(Q178*174*12)</f>
        <v>6.7923205850982669</v>
      </c>
      <c r="L178" s="3">
        <v>17.8505924447037</v>
      </c>
      <c r="M178" s="2">
        <v>0.60567878067173198</v>
      </c>
      <c r="N178" s="1">
        <v>0.80100574712643702</v>
      </c>
      <c r="O178" s="1">
        <v>1.7167145593869699</v>
      </c>
      <c r="P178" s="1">
        <v>0.62547892720306497</v>
      </c>
      <c r="Q178" s="19">
        <v>3.14319923371648</v>
      </c>
      <c r="R178" s="1">
        <v>0.58764367816092</v>
      </c>
      <c r="S178" s="16">
        <f>Q178+R178</f>
        <v>3.7308429118774002</v>
      </c>
      <c r="T178" s="1">
        <v>0.52586206896551702</v>
      </c>
      <c r="U178" s="1">
        <v>3.00004389099617</v>
      </c>
      <c r="V178" s="1">
        <v>0.143155342720306</v>
      </c>
      <c r="W178" s="7">
        <v>0.12055639474791199</v>
      </c>
      <c r="X178" s="6">
        <f>IF(W178&lt;=-0.65,-1,IF(W178&gt;=0.65,ROUND(W178,0),0))</f>
        <v>0</v>
      </c>
    </row>
    <row r="179" spans="1:24" x14ac:dyDescent="0.2">
      <c r="A179">
        <v>272</v>
      </c>
      <c r="B179" s="4">
        <v>1326779.8600000001</v>
      </c>
      <c r="C179" s="9">
        <f>B179/12</f>
        <v>110564.98833333334</v>
      </c>
      <c r="D179" s="4">
        <v>73369.86</v>
      </c>
      <c r="E179" s="4">
        <v>6114.1549999999997</v>
      </c>
      <c r="F179" s="5">
        <v>46044</v>
      </c>
      <c r="G179" t="s">
        <v>208</v>
      </c>
      <c r="H179" t="s">
        <v>35</v>
      </c>
      <c r="I179" t="s">
        <v>233</v>
      </c>
      <c r="J179" t="s">
        <v>347</v>
      </c>
      <c r="K179" s="10">
        <f>F179/(Q179*174*12)</f>
        <v>6.4969662762805047</v>
      </c>
      <c r="L179" s="3">
        <v>28.815477803839801</v>
      </c>
      <c r="M179" s="2">
        <v>0.77199659180837998</v>
      </c>
      <c r="N179" s="1">
        <v>0.87236590038314199</v>
      </c>
      <c r="O179" s="1">
        <v>0.84506704980842895</v>
      </c>
      <c r="P179" s="1">
        <v>1.67672413793103</v>
      </c>
      <c r="Q179" s="19">
        <v>3.39415708812261</v>
      </c>
      <c r="R179" s="1">
        <v>0.45785440613026801</v>
      </c>
      <c r="S179" s="16">
        <f>Q179+R179</f>
        <v>3.8520114942528778</v>
      </c>
      <c r="T179" s="1">
        <v>2.1551724137931001E-2</v>
      </c>
      <c r="U179" s="1">
        <v>3.0987038655172401</v>
      </c>
      <c r="V179" s="1">
        <v>0.295453222605364</v>
      </c>
      <c r="W179" s="7">
        <v>0</v>
      </c>
      <c r="X179" s="6">
        <f>IF(W179&lt;=-0.65,-1,IF(W179&gt;=0.65,ROUND(W179,0),0))</f>
        <v>0</v>
      </c>
    </row>
    <row r="180" spans="1:24" x14ac:dyDescent="0.2">
      <c r="A180">
        <v>273</v>
      </c>
      <c r="B180" s="4">
        <v>1241637</v>
      </c>
      <c r="C180" s="9">
        <f>B180/12</f>
        <v>103469.75</v>
      </c>
      <c r="D180" s="4">
        <v>65494.15</v>
      </c>
      <c r="E180" s="4">
        <v>5457.8458333333338</v>
      </c>
      <c r="F180" s="5">
        <v>51594</v>
      </c>
      <c r="G180" t="s">
        <v>208</v>
      </c>
      <c r="H180" t="s">
        <v>49</v>
      </c>
      <c r="I180" t="s">
        <v>245</v>
      </c>
      <c r="J180" t="s">
        <v>346</v>
      </c>
      <c r="K180" s="10">
        <f>F180/(Q180*174*12)</f>
        <v>8.05338328260361</v>
      </c>
      <c r="L180" s="3">
        <v>24.065530875683201</v>
      </c>
      <c r="M180" s="2">
        <v>0.65349370226563797</v>
      </c>
      <c r="N180" s="1">
        <v>0.91546934865900398</v>
      </c>
      <c r="O180" s="1">
        <v>0.51412835249042099</v>
      </c>
      <c r="P180" s="1">
        <v>1.63864942528736</v>
      </c>
      <c r="Q180" s="19">
        <v>3.0682471264367801</v>
      </c>
      <c r="R180" s="1">
        <v>0.36709770114942503</v>
      </c>
      <c r="S180" s="16">
        <f>Q180+R180</f>
        <v>3.4353448275862051</v>
      </c>
      <c r="T180" s="1">
        <v>3.9032567049808398E-2</v>
      </c>
      <c r="U180" s="1">
        <v>3.4722119545977002</v>
      </c>
      <c r="V180" s="1">
        <v>-0.40396482816092</v>
      </c>
      <c r="W180" s="7">
        <v>-0.28453308274095002</v>
      </c>
      <c r="X180" s="6">
        <f>IF(W180&lt;=-0.65,-1,IF(W180&gt;=0.65,ROUND(W180,0),0))</f>
        <v>0</v>
      </c>
    </row>
    <row r="181" spans="1:24" x14ac:dyDescent="0.2">
      <c r="A181">
        <v>274</v>
      </c>
      <c r="B181" s="4">
        <v>603625.94999999995</v>
      </c>
      <c r="C181" s="9">
        <f>B181/12</f>
        <v>50302.162499999999</v>
      </c>
      <c r="D181" s="4">
        <v>42347.49</v>
      </c>
      <c r="E181" s="4">
        <v>3528.9575</v>
      </c>
      <c r="F181" s="5">
        <v>29305</v>
      </c>
      <c r="G181" t="s">
        <v>208</v>
      </c>
      <c r="H181" t="s">
        <v>49</v>
      </c>
      <c r="I181" t="s">
        <v>245</v>
      </c>
      <c r="J181" t="s">
        <v>346</v>
      </c>
      <c r="K181" s="10">
        <f>F181/(Q181*174*12)</f>
        <v>7.4133569440931142</v>
      </c>
      <c r="L181" s="3">
        <v>20.598053233236602</v>
      </c>
      <c r="M181" s="2">
        <v>0.66956866251359803</v>
      </c>
      <c r="N181" s="1">
        <v>0.100335249042146</v>
      </c>
      <c r="O181" s="1">
        <v>1.2114463601532599</v>
      </c>
      <c r="P181" s="1">
        <v>0.58141762452107304</v>
      </c>
      <c r="Q181" s="19">
        <v>1.89319923371647</v>
      </c>
      <c r="R181" s="1">
        <v>0.88960727969348696</v>
      </c>
      <c r="S181" s="16">
        <f>Q181+R181</f>
        <v>2.7828065134099571</v>
      </c>
      <c r="T181" s="1">
        <v>6.2021072796934897E-2</v>
      </c>
      <c r="U181" s="1">
        <v>1.9721900090996201</v>
      </c>
      <c r="V181" s="1">
        <v>-7.8990775383141795E-2</v>
      </c>
      <c r="W181" s="7">
        <v>0</v>
      </c>
      <c r="X181" s="6">
        <f>IF(W181&lt;=-0.65,-1,IF(W181&gt;=0.65,ROUND(W181,0),0))</f>
        <v>0</v>
      </c>
    </row>
    <row r="182" spans="1:24" x14ac:dyDescent="0.2">
      <c r="A182">
        <v>275</v>
      </c>
      <c r="B182" s="4">
        <v>1089791.95</v>
      </c>
      <c r="C182" s="9">
        <f>B182/12</f>
        <v>90815.995833333334</v>
      </c>
      <c r="D182" s="4">
        <v>75953.509999999995</v>
      </c>
      <c r="E182" s="4">
        <v>6329.4591666666665</v>
      </c>
      <c r="F182" s="5">
        <v>56724</v>
      </c>
      <c r="G182" t="s">
        <v>208</v>
      </c>
      <c r="H182" t="s">
        <v>49</v>
      </c>
      <c r="I182" t="s">
        <v>245</v>
      </c>
      <c r="J182" t="s">
        <v>346</v>
      </c>
      <c r="K182" s="10">
        <f>F182/(Q182*174*12)</f>
        <v>10.828290541185474</v>
      </c>
      <c r="L182" s="3">
        <v>19.212184436922598</v>
      </c>
      <c r="M182" s="2">
        <v>0.64291926546163203</v>
      </c>
      <c r="N182" s="1">
        <v>0.88888888888888895</v>
      </c>
      <c r="O182" s="1">
        <v>0.88362068965517204</v>
      </c>
      <c r="P182" s="1">
        <v>0.73635057471264398</v>
      </c>
      <c r="Q182" s="19">
        <v>2.5088601532567001</v>
      </c>
      <c r="R182" s="1">
        <v>0.33740421455938702</v>
      </c>
      <c r="S182" s="16">
        <f>Q182+R182</f>
        <v>2.846264367816087</v>
      </c>
      <c r="T182" s="1">
        <v>3.83141762452107E-3</v>
      </c>
      <c r="U182" s="1">
        <v>3.8174545666666702</v>
      </c>
      <c r="V182" s="1">
        <v>-1.3085944134099601</v>
      </c>
      <c r="W182" s="7">
        <v>-0.99502979524364399</v>
      </c>
      <c r="X182" s="6">
        <f>IF(W182&lt;=-0.65,-1,IF(W182&gt;=0.65,ROUND(W182,0),0))</f>
        <v>-1</v>
      </c>
    </row>
    <row r="183" spans="1:24" x14ac:dyDescent="0.2">
      <c r="A183">
        <v>277</v>
      </c>
      <c r="B183" s="4">
        <v>684125.52</v>
      </c>
      <c r="C183" s="9">
        <f>B183/12</f>
        <v>57010.46</v>
      </c>
      <c r="D183" s="4">
        <v>64803.74</v>
      </c>
      <c r="E183" s="4">
        <v>5400.3116666666665</v>
      </c>
      <c r="F183" s="5">
        <v>25811</v>
      </c>
      <c r="G183" t="s">
        <v>136</v>
      </c>
      <c r="H183" t="s">
        <v>98</v>
      </c>
      <c r="I183" t="s">
        <v>179</v>
      </c>
      <c r="J183" t="s">
        <v>360</v>
      </c>
      <c r="K183" s="10">
        <f>F183/(Q183*174*12)</f>
        <v>3.9367040341645718</v>
      </c>
      <c r="L183" s="3">
        <v>26.5051923598466</v>
      </c>
      <c r="M183" s="2">
        <v>0.78371680974567404</v>
      </c>
      <c r="N183" s="1">
        <v>0.84291187739463602</v>
      </c>
      <c r="O183" s="1">
        <v>0.75766283524904199</v>
      </c>
      <c r="P183" s="1">
        <v>1.53951149425287</v>
      </c>
      <c r="Q183" s="19">
        <v>3.1400862068965498</v>
      </c>
      <c r="R183" s="1">
        <v>0.47437739463601503</v>
      </c>
      <c r="S183" s="16">
        <f>Q183+R183</f>
        <v>3.6144636015325649</v>
      </c>
      <c r="T183" s="1">
        <v>3.83141762452107E-3</v>
      </c>
      <c r="U183" s="1">
        <v>1.8994905784003799</v>
      </c>
      <c r="V183" s="1">
        <v>1.2405956284961701</v>
      </c>
      <c r="W183" s="7">
        <v>1.12759779126273</v>
      </c>
      <c r="X183" s="6">
        <f>IF(W183&lt;=-0.65,-1,IF(W183&gt;=0.65,ROUND(W183,0),0))</f>
        <v>1</v>
      </c>
    </row>
    <row r="184" spans="1:24" x14ac:dyDescent="0.2">
      <c r="A184">
        <v>278</v>
      </c>
      <c r="B184" s="4">
        <v>469150.36</v>
      </c>
      <c r="C184" s="9">
        <f>B184/12</f>
        <v>39095.863333333335</v>
      </c>
      <c r="D184" s="4">
        <v>37893</v>
      </c>
      <c r="E184" s="4">
        <v>3157.75</v>
      </c>
      <c r="F184" s="5">
        <v>19123</v>
      </c>
      <c r="G184" t="s">
        <v>208</v>
      </c>
      <c r="H184" t="s">
        <v>98</v>
      </c>
      <c r="I184" t="s">
        <v>179</v>
      </c>
      <c r="J184" t="s">
        <v>360</v>
      </c>
      <c r="K184" s="10">
        <f>F184/(Q184*174*12)</f>
        <v>4.7927318295739232</v>
      </c>
      <c r="L184" s="3">
        <v>24.5333033519845</v>
      </c>
      <c r="M184" s="2">
        <v>0.72129022772144902</v>
      </c>
      <c r="N184" s="1">
        <v>0.84674329501915702</v>
      </c>
      <c r="O184" s="1">
        <v>0.11111111111111099</v>
      </c>
      <c r="P184" s="1">
        <v>0.95306513409961702</v>
      </c>
      <c r="Q184" s="19">
        <v>1.91091954022989</v>
      </c>
      <c r="R184" s="1">
        <v>0.32255747126436801</v>
      </c>
      <c r="S184" s="16">
        <f>Q184+R184</f>
        <v>2.2334770114942581</v>
      </c>
      <c r="T184" s="1">
        <v>0.31034482758620702</v>
      </c>
      <c r="U184" s="1">
        <v>1.2869540878352499</v>
      </c>
      <c r="V184" s="1">
        <v>0.62396545239463597</v>
      </c>
      <c r="W184" s="7">
        <v>0.41455331550468399</v>
      </c>
      <c r="X184" s="6">
        <f>IF(W184&lt;=-0.65,-1,IF(W184&gt;=0.65,ROUND(W184,0),0))</f>
        <v>0</v>
      </c>
    </row>
    <row r="185" spans="1:24" x14ac:dyDescent="0.2">
      <c r="A185">
        <v>279</v>
      </c>
      <c r="B185" s="4">
        <v>559698.31000000006</v>
      </c>
      <c r="C185" s="9">
        <f>B185/12</f>
        <v>46641.52583333334</v>
      </c>
      <c r="D185" s="4">
        <v>55520.58</v>
      </c>
      <c r="E185" s="4">
        <v>4626.7150000000001</v>
      </c>
      <c r="F185" s="5">
        <v>29477</v>
      </c>
      <c r="G185" t="s">
        <v>136</v>
      </c>
      <c r="H185" t="s">
        <v>21</v>
      </c>
      <c r="I185" t="s">
        <v>178</v>
      </c>
      <c r="J185" t="s">
        <v>178</v>
      </c>
      <c r="K185" s="10">
        <f>F185/(Q185*174*12)</f>
        <v>5.8111384918679212</v>
      </c>
      <c r="L185" s="3">
        <v>18.987627981137798</v>
      </c>
      <c r="M185" s="2">
        <v>0.75583830153069398</v>
      </c>
      <c r="N185" s="1">
        <v>0.85919540229885005</v>
      </c>
      <c r="O185" s="1">
        <v>0.75407088122605404</v>
      </c>
      <c r="P185" s="1">
        <v>0.81609195402298895</v>
      </c>
      <c r="Q185" s="19">
        <v>2.4293582375478899</v>
      </c>
      <c r="R185" s="1">
        <v>0.39655172413793099</v>
      </c>
      <c r="S185" s="16">
        <f>Q185+R185</f>
        <v>2.825909961685821</v>
      </c>
      <c r="T185" s="1">
        <v>0.122844827586207</v>
      </c>
      <c r="U185" s="1">
        <v>2.1692799108716501</v>
      </c>
      <c r="V185" s="1">
        <v>0.26007832667624498</v>
      </c>
      <c r="W185" s="7">
        <v>0.192524374874845</v>
      </c>
      <c r="X185" s="6">
        <f>IF(W185&lt;=-0.65,-1,IF(W185&gt;=0.65,ROUND(W185,0),0))</f>
        <v>0</v>
      </c>
    </row>
    <row r="186" spans="1:24" x14ac:dyDescent="0.2">
      <c r="A186">
        <v>280</v>
      </c>
      <c r="B186" s="4">
        <v>711704.31</v>
      </c>
      <c r="C186" s="9">
        <f>B186/12</f>
        <v>59308.692500000005</v>
      </c>
      <c r="D186" s="4">
        <v>40733.89</v>
      </c>
      <c r="E186" s="4">
        <v>3394.4908333333333</v>
      </c>
      <c r="F186" s="5">
        <v>41684</v>
      </c>
      <c r="G186" t="s">
        <v>208</v>
      </c>
      <c r="H186" t="s">
        <v>19</v>
      </c>
      <c r="I186" t="s">
        <v>263</v>
      </c>
      <c r="J186" t="s">
        <v>379</v>
      </c>
      <c r="K186" s="10">
        <f>F186/(Q186*174*12)</f>
        <v>9.6068218483521406</v>
      </c>
      <c r="L186" s="3">
        <v>17.073800738892601</v>
      </c>
      <c r="M186" s="2">
        <v>0.67872175735453999</v>
      </c>
      <c r="N186" s="1">
        <v>0.19492337164751</v>
      </c>
      <c r="O186" s="1">
        <v>0.92337164750957801</v>
      </c>
      <c r="P186" s="1">
        <v>0.95977011494252895</v>
      </c>
      <c r="Q186" s="19">
        <v>2.0780651340996199</v>
      </c>
      <c r="R186" s="1">
        <v>0.118773946360153</v>
      </c>
      <c r="S186" s="16">
        <f>Q186+R186</f>
        <v>2.1968390804597728</v>
      </c>
      <c r="T186" s="1">
        <v>1.11494252873563</v>
      </c>
      <c r="U186" s="1">
        <v>2.8052812946360199</v>
      </c>
      <c r="V186" s="1">
        <v>-0.72721616053639904</v>
      </c>
      <c r="W186" s="7">
        <v>-0.30540486511751003</v>
      </c>
      <c r="X186" s="6">
        <f>IF(W186&lt;=-0.65,-1,IF(W186&gt;=0.65,ROUND(W186,0),0))</f>
        <v>0</v>
      </c>
    </row>
    <row r="187" spans="1:24" x14ac:dyDescent="0.2">
      <c r="A187">
        <v>281</v>
      </c>
      <c r="B187" s="4">
        <v>612589.38</v>
      </c>
      <c r="C187" s="9">
        <f>B187/12</f>
        <v>51049.114999999998</v>
      </c>
      <c r="D187" s="4">
        <v>48152.35</v>
      </c>
      <c r="E187" s="4">
        <v>4012.6958333333332</v>
      </c>
      <c r="F187" s="5">
        <v>27873</v>
      </c>
      <c r="G187" t="s">
        <v>270</v>
      </c>
      <c r="H187" t="s">
        <v>98</v>
      </c>
      <c r="I187" t="s">
        <v>282</v>
      </c>
      <c r="J187" t="s">
        <v>282</v>
      </c>
      <c r="K187" s="10">
        <f>F187/(Q187*174*12)</f>
        <v>6.2439516129032224</v>
      </c>
      <c r="L187" s="3">
        <v>21.977877515875601</v>
      </c>
      <c r="M187" s="2">
        <v>0.68657228435791695</v>
      </c>
      <c r="N187" s="1">
        <v>0.37667624521072801</v>
      </c>
      <c r="O187" s="1">
        <v>0.84315134099616895</v>
      </c>
      <c r="P187" s="1">
        <v>0.91810344827586199</v>
      </c>
      <c r="Q187" s="19">
        <v>2.1379310344827598</v>
      </c>
      <c r="R187" s="1">
        <v>0.32519157088122602</v>
      </c>
      <c r="S187" s="16">
        <f>Q187+R187</f>
        <v>2.4631226053639859</v>
      </c>
      <c r="T187" s="1">
        <v>5.9386973180076602E-2</v>
      </c>
      <c r="U187" s="1">
        <v>1.97959439051724</v>
      </c>
      <c r="V187" s="1">
        <v>0.158336643965517</v>
      </c>
      <c r="W187" s="7">
        <v>0</v>
      </c>
      <c r="X187" s="6">
        <f>IF(W187&lt;=-0.65,-1,IF(W187&gt;=0.65,ROUND(W187,0),0))</f>
        <v>0</v>
      </c>
    </row>
    <row r="188" spans="1:24" x14ac:dyDescent="0.2">
      <c r="A188">
        <v>282</v>
      </c>
      <c r="B188" s="4">
        <v>421425.35</v>
      </c>
      <c r="C188" s="9">
        <f>B188/12</f>
        <v>35118.779166666667</v>
      </c>
      <c r="D188" s="4">
        <v>36410.910000000003</v>
      </c>
      <c r="E188" s="4">
        <v>3034.2425000000003</v>
      </c>
      <c r="F188" s="5">
        <v>20560</v>
      </c>
      <c r="G188" t="s">
        <v>270</v>
      </c>
      <c r="H188" t="s">
        <v>21</v>
      </c>
      <c r="I188" t="s">
        <v>278</v>
      </c>
      <c r="J188" t="s">
        <v>278</v>
      </c>
      <c r="K188" s="10">
        <f>F188/(Q188*174*12)</f>
        <v>5.3347171769589936</v>
      </c>
      <c r="L188" s="3">
        <v>20.49734192607</v>
      </c>
      <c r="M188" s="2">
        <v>0.70235359595714897</v>
      </c>
      <c r="N188" s="1">
        <v>0.85632183908046</v>
      </c>
      <c r="O188" s="1">
        <v>0.13218390804597699</v>
      </c>
      <c r="P188" s="1">
        <v>0.85727969348659006</v>
      </c>
      <c r="Q188" s="19">
        <v>1.8457854406130301</v>
      </c>
      <c r="R188" s="1">
        <v>0.22796934865900401</v>
      </c>
      <c r="S188" s="16">
        <f>Q188+R188</f>
        <v>2.073754789272034</v>
      </c>
      <c r="T188" s="1">
        <v>0.15325670498084301</v>
      </c>
      <c r="U188" s="1">
        <v>1.46021098084291</v>
      </c>
      <c r="V188" s="1">
        <v>0.38557445977011501</v>
      </c>
      <c r="W188" s="7">
        <v>0.20097013309139999</v>
      </c>
      <c r="X188" s="6">
        <f>IF(W188&lt;=-0.65,-1,IF(W188&gt;=0.65,ROUND(W188,0),0))</f>
        <v>0</v>
      </c>
    </row>
    <row r="189" spans="1:24" x14ac:dyDescent="0.2">
      <c r="A189">
        <v>285</v>
      </c>
      <c r="B189" s="4">
        <v>360058.17</v>
      </c>
      <c r="C189" s="9">
        <f>B189/12</f>
        <v>30004.8475</v>
      </c>
      <c r="D189" s="4">
        <v>43351.040000000001</v>
      </c>
      <c r="E189" s="4">
        <v>3612.5866666666666</v>
      </c>
      <c r="F189" s="5">
        <v>20016</v>
      </c>
      <c r="G189" t="s">
        <v>270</v>
      </c>
      <c r="H189" t="s">
        <v>31</v>
      </c>
      <c r="I189" t="s">
        <v>175</v>
      </c>
      <c r="J189" t="s">
        <v>175</v>
      </c>
      <c r="K189" s="10">
        <f>F189/(Q189*174*12)</f>
        <v>5.5392278953922851</v>
      </c>
      <c r="L189" s="3">
        <v>17.988517685851299</v>
      </c>
      <c r="M189" s="2">
        <v>0.44041233670659402</v>
      </c>
      <c r="N189" s="1">
        <v>0.89655172413793105</v>
      </c>
      <c r="O189" s="1">
        <v>0.82686781609195403</v>
      </c>
      <c r="P189" s="1">
        <v>7.1839080459770097E-3</v>
      </c>
      <c r="Q189" s="19">
        <v>1.7306034482758601</v>
      </c>
      <c r="R189" s="1">
        <v>0.23946360153256699</v>
      </c>
      <c r="S189" s="16">
        <f>Q189+R189</f>
        <v>1.9700670498084272</v>
      </c>
      <c r="T189" s="1">
        <v>2.1072796934865901E-2</v>
      </c>
      <c r="U189" s="1">
        <v>1.42157504827586</v>
      </c>
      <c r="V189" s="1">
        <v>0.30902839999999998</v>
      </c>
      <c r="W189" s="7">
        <v>0.16071409690723801</v>
      </c>
      <c r="X189" s="6">
        <f>IF(W189&lt;=-0.65,-1,IF(W189&gt;=0.65,ROUND(W189,0),0))</f>
        <v>0</v>
      </c>
    </row>
    <row r="190" spans="1:24" x14ac:dyDescent="0.2">
      <c r="A190">
        <v>291</v>
      </c>
      <c r="B190" s="4">
        <v>1316340.19</v>
      </c>
      <c r="C190" s="9">
        <f>B190/12</f>
        <v>109695.01583333332</v>
      </c>
      <c r="D190" s="4">
        <v>104928.15</v>
      </c>
      <c r="E190" s="4">
        <v>8744.0124999999989</v>
      </c>
      <c r="F190" s="5">
        <v>95304</v>
      </c>
      <c r="G190" t="s">
        <v>18</v>
      </c>
      <c r="H190" t="s">
        <v>23</v>
      </c>
      <c r="I190" t="s">
        <v>115</v>
      </c>
      <c r="J190" t="s">
        <v>316</v>
      </c>
      <c r="K190" s="10">
        <f>F190/(Q190*174*12)</f>
        <v>9.6242363039636452</v>
      </c>
      <c r="L190" s="3">
        <v>13.8120140812558</v>
      </c>
      <c r="M190" s="2">
        <v>0.42249525177834202</v>
      </c>
      <c r="N190" s="1">
        <v>0.78424329501915702</v>
      </c>
      <c r="O190" s="1">
        <v>1.90684865900383</v>
      </c>
      <c r="P190" s="1">
        <v>2.0514846743295001</v>
      </c>
      <c r="Q190" s="19">
        <v>4.7425766283524897</v>
      </c>
      <c r="R190" s="1">
        <v>0.75095785440613005</v>
      </c>
      <c r="S190" s="16">
        <f>Q190+R190</f>
        <v>5.4935344827586201</v>
      </c>
      <c r="T190" s="1">
        <v>0.187021072796935</v>
      </c>
      <c r="U190" s="1">
        <v>4.7155781571415751</v>
      </c>
      <c r="V190" s="1">
        <v>2.6998471210911899E-2</v>
      </c>
      <c r="W190" s="7">
        <v>0.14161079905221299</v>
      </c>
      <c r="X190" s="6">
        <f>IF(W190&lt;=-0.65,-1,IF(W190&gt;=0.65,ROUND(W190,0),0))</f>
        <v>0</v>
      </c>
    </row>
    <row r="191" spans="1:24" x14ac:dyDescent="0.2">
      <c r="A191">
        <v>292</v>
      </c>
      <c r="B191" s="4">
        <v>1507386.54</v>
      </c>
      <c r="C191" s="9">
        <f>B191/12</f>
        <v>125615.545</v>
      </c>
      <c r="D191" s="4">
        <v>89984.69</v>
      </c>
      <c r="E191" s="4">
        <v>7498.7241666666669</v>
      </c>
      <c r="F191" s="5">
        <v>96309</v>
      </c>
      <c r="G191" t="s">
        <v>18</v>
      </c>
      <c r="H191" t="s">
        <v>23</v>
      </c>
      <c r="I191" t="s">
        <v>113</v>
      </c>
      <c r="J191" t="s">
        <v>320</v>
      </c>
      <c r="K191" s="10">
        <f>F191/(Q191*174*12)</f>
        <v>10.369320017054479</v>
      </c>
      <c r="L191" s="3">
        <v>15.651564651278701</v>
      </c>
      <c r="M191" s="2">
        <v>0.49262032683401802</v>
      </c>
      <c r="N191" s="1">
        <v>0.84219348659003801</v>
      </c>
      <c r="O191" s="1">
        <v>1.89098659003831</v>
      </c>
      <c r="P191" s="1">
        <v>1.71503831417625</v>
      </c>
      <c r="Q191" s="19">
        <v>4.4482183908046</v>
      </c>
      <c r="R191" s="1">
        <v>0.61296695402298895</v>
      </c>
      <c r="S191" s="16">
        <f>Q191+R191</f>
        <v>5.0611853448275888</v>
      </c>
      <c r="T191" s="1">
        <v>3.0651340996168602E-2</v>
      </c>
      <c r="U191" s="1">
        <v>4.7569678027835449</v>
      </c>
      <c r="V191" s="1">
        <v>-0.30874941197894801</v>
      </c>
      <c r="W191" s="7">
        <v>-0.20269900946577099</v>
      </c>
      <c r="X191" s="6">
        <f>IF(W191&lt;=-0.65,-1,IF(W191&gt;=0.65,ROUND(W191,0),0))</f>
        <v>0</v>
      </c>
    </row>
    <row r="192" spans="1:24" x14ac:dyDescent="0.2">
      <c r="A192">
        <v>293</v>
      </c>
      <c r="B192" s="4">
        <v>947508.98</v>
      </c>
      <c r="C192" s="9">
        <f>B192/12</f>
        <v>78959.081666666665</v>
      </c>
      <c r="D192" s="4">
        <v>92207.44</v>
      </c>
      <c r="E192" s="4">
        <v>7683.9533333333338</v>
      </c>
      <c r="F192" s="5">
        <v>68140</v>
      </c>
      <c r="G192" t="s">
        <v>18</v>
      </c>
      <c r="H192" t="s">
        <v>49</v>
      </c>
      <c r="I192" t="s">
        <v>116</v>
      </c>
      <c r="J192" t="s">
        <v>329</v>
      </c>
      <c r="K192" s="10">
        <f>F192/(Q192*174*12)</f>
        <v>8.120605410558932</v>
      </c>
      <c r="L192" s="3">
        <v>13.905326973877299</v>
      </c>
      <c r="M192" s="2">
        <v>0.36392917352614401</v>
      </c>
      <c r="N192" s="1">
        <v>1.04813218390805</v>
      </c>
      <c r="O192" s="1">
        <v>1.0253831417624499</v>
      </c>
      <c r="P192" s="1">
        <v>1.94516283524904</v>
      </c>
      <c r="Q192" s="19">
        <v>4.0186781609195403</v>
      </c>
      <c r="R192" s="1">
        <v>0.42145593869731801</v>
      </c>
      <c r="S192" s="16">
        <f>Q192+R192</f>
        <v>4.4401340996168583</v>
      </c>
      <c r="T192" s="1">
        <v>0.26149425287356298</v>
      </c>
      <c r="U192" s="1">
        <v>3.6373005306209851</v>
      </c>
      <c r="V192" s="1">
        <v>0.38137763029855698</v>
      </c>
      <c r="W192" s="7">
        <v>0.48346745052847101</v>
      </c>
      <c r="X192" s="6">
        <f>IF(W192&lt;=-0.65,-1,IF(W192&gt;=0.65,ROUND(W192,0),0))</f>
        <v>0</v>
      </c>
    </row>
    <row r="193" spans="1:24" x14ac:dyDescent="0.2">
      <c r="A193">
        <v>294</v>
      </c>
      <c r="B193" s="4">
        <v>1027422.35</v>
      </c>
      <c r="C193" s="9">
        <f>B193/12</f>
        <v>85618.52916666666</v>
      </c>
      <c r="D193" s="4">
        <v>90606.31</v>
      </c>
      <c r="E193" s="4">
        <v>7550.5258333333331</v>
      </c>
      <c r="F193" s="5">
        <v>73931</v>
      </c>
      <c r="G193" t="s">
        <v>18</v>
      </c>
      <c r="H193" t="s">
        <v>19</v>
      </c>
      <c r="I193" t="s">
        <v>117</v>
      </c>
      <c r="J193" t="s">
        <v>318</v>
      </c>
      <c r="K193" s="10">
        <f>F193/(Q193*174*12)</f>
        <v>9.8772211088844326</v>
      </c>
      <c r="L193" s="3">
        <v>13.897043865225699</v>
      </c>
      <c r="M193" s="2">
        <v>0.39154948303392501</v>
      </c>
      <c r="N193" s="1">
        <v>0.158524904214559</v>
      </c>
      <c r="O193" s="1">
        <v>1.2418582375478899</v>
      </c>
      <c r="P193" s="1">
        <v>2.18438697318008</v>
      </c>
      <c r="Q193" s="19">
        <v>3.58477011494253</v>
      </c>
      <c r="R193" s="1">
        <v>0.57327586206896597</v>
      </c>
      <c r="S193" s="16">
        <f>Q193+R193</f>
        <v>4.1580459770114961</v>
      </c>
      <c r="T193" s="1">
        <v>1.07758620689655</v>
      </c>
      <c r="U193" s="1">
        <v>3.8609643775636853</v>
      </c>
      <c r="V193" s="1">
        <v>-0.27619426262115698</v>
      </c>
      <c r="W193" s="7">
        <v>0</v>
      </c>
      <c r="X193" s="6">
        <f>IF(W193&lt;=-0.65,-1,IF(W193&gt;=0.65,ROUND(W193,0),0))</f>
        <v>0</v>
      </c>
    </row>
    <row r="194" spans="1:24" x14ac:dyDescent="0.2">
      <c r="A194">
        <v>295</v>
      </c>
      <c r="B194" s="4">
        <v>1246465.45</v>
      </c>
      <c r="C194" s="9">
        <f>B194/12</f>
        <v>103872.12083333333</v>
      </c>
      <c r="D194" s="4">
        <v>94888.94</v>
      </c>
      <c r="E194" s="4">
        <v>7907.4116666666669</v>
      </c>
      <c r="F194" s="5">
        <v>82400</v>
      </c>
      <c r="G194" t="s">
        <v>18</v>
      </c>
      <c r="H194" t="s">
        <v>40</v>
      </c>
      <c r="I194" t="s">
        <v>118</v>
      </c>
      <c r="J194" t="s">
        <v>311</v>
      </c>
      <c r="K194" s="10">
        <f>F194/(Q194*174*12)</f>
        <v>9.0688972044904208</v>
      </c>
      <c r="L194" s="3">
        <v>15.1270078883495</v>
      </c>
      <c r="M194" s="2">
        <v>0.40580855249537801</v>
      </c>
      <c r="N194" s="1">
        <v>0.83069923371647503</v>
      </c>
      <c r="O194" s="1">
        <v>1.7502394636015299</v>
      </c>
      <c r="P194" s="1">
        <v>1.7705938697318</v>
      </c>
      <c r="Q194" s="19">
        <v>4.3515325670498104</v>
      </c>
      <c r="R194" s="1">
        <v>0.53304597701149403</v>
      </c>
      <c r="S194" s="16">
        <f>Q194+R194</f>
        <v>4.8845785440613048</v>
      </c>
      <c r="T194" s="1">
        <v>4.0469348659003798E-2</v>
      </c>
      <c r="U194" s="1">
        <v>4.19393806962848</v>
      </c>
      <c r="V194" s="1">
        <v>0.157594497421329</v>
      </c>
      <c r="W194" s="7">
        <v>7.8847449899176997E-2</v>
      </c>
      <c r="X194" s="6">
        <f>IF(W194&lt;=-0.65,-1,IF(W194&gt;=0.65,ROUND(W194,0),0))</f>
        <v>0</v>
      </c>
    </row>
    <row r="195" spans="1:24" x14ac:dyDescent="0.2">
      <c r="A195">
        <v>296</v>
      </c>
      <c r="B195" s="4">
        <v>1300885.8700000001</v>
      </c>
      <c r="C195" s="9">
        <f>B195/12</f>
        <v>108407.15583333334</v>
      </c>
      <c r="D195" s="4">
        <v>104489.46</v>
      </c>
      <c r="E195" s="4">
        <v>8707.4549999999999</v>
      </c>
      <c r="F195" s="5">
        <v>92254</v>
      </c>
      <c r="G195" t="s">
        <v>18</v>
      </c>
      <c r="H195" t="s">
        <v>61</v>
      </c>
      <c r="I195" t="s">
        <v>119</v>
      </c>
      <c r="J195" t="s">
        <v>340</v>
      </c>
      <c r="K195" s="10">
        <f>F195/(Q195*174*12)</f>
        <v>9.2531594784353004</v>
      </c>
      <c r="L195" s="3">
        <v>14.101132417022599</v>
      </c>
      <c r="M195" s="2">
        <v>0.42415055980276001</v>
      </c>
      <c r="N195" s="1">
        <v>0.107758620689655</v>
      </c>
      <c r="O195" s="1">
        <v>2.39319923371648</v>
      </c>
      <c r="P195" s="1">
        <v>2.2739463601532601</v>
      </c>
      <c r="Q195" s="19">
        <v>4.7749042145593901</v>
      </c>
      <c r="R195" s="1">
        <v>1.09314176245211</v>
      </c>
      <c r="S195" s="16">
        <f>Q195+R195</f>
        <v>5.8680459770114997</v>
      </c>
      <c r="T195" s="1">
        <v>5.50766283524904E-3</v>
      </c>
      <c r="U195" s="1">
        <v>4.5906580974305253</v>
      </c>
      <c r="V195" s="1">
        <v>0.18424611712885899</v>
      </c>
      <c r="W195" s="7">
        <v>0.25960316817373602</v>
      </c>
      <c r="X195" s="6">
        <f>IF(W195&lt;=-0.65,-1,IF(W195&gt;=0.65,ROUND(W195,0),0))</f>
        <v>0</v>
      </c>
    </row>
    <row r="196" spans="1:24" x14ac:dyDescent="0.2">
      <c r="A196">
        <v>297</v>
      </c>
      <c r="B196" s="4">
        <v>1524280.2</v>
      </c>
      <c r="C196" s="9">
        <f>B196/12</f>
        <v>127023.34999999999</v>
      </c>
      <c r="D196" s="4">
        <v>96171.56</v>
      </c>
      <c r="E196" s="4">
        <v>8014.2966666666662</v>
      </c>
      <c r="F196" s="5">
        <v>104604</v>
      </c>
      <c r="G196" t="s">
        <v>18</v>
      </c>
      <c r="H196" t="s">
        <v>61</v>
      </c>
      <c r="I196" t="s">
        <v>120</v>
      </c>
      <c r="J196" t="s">
        <v>163</v>
      </c>
      <c r="K196" s="10">
        <f>F196/(Q196*174*12)</f>
        <v>11.582770457313687</v>
      </c>
      <c r="L196" s="3">
        <v>14.5719112079844</v>
      </c>
      <c r="M196" s="2">
        <v>0.42519658131096899</v>
      </c>
      <c r="N196" s="1">
        <v>0.94372605363984696</v>
      </c>
      <c r="O196" s="1">
        <v>0.85991379310344795</v>
      </c>
      <c r="P196" s="1">
        <v>2.5215517241379302</v>
      </c>
      <c r="Q196" s="19">
        <v>4.3251915708812296</v>
      </c>
      <c r="R196" s="1">
        <v>0.62452107279693503</v>
      </c>
      <c r="S196" s="16">
        <f>Q196+R196</f>
        <v>4.9497126436781649</v>
      </c>
      <c r="T196" s="1">
        <v>0.22844827586206901</v>
      </c>
      <c r="U196" s="1">
        <v>5.1030174609249404</v>
      </c>
      <c r="V196" s="1">
        <v>-0.77782589004371405</v>
      </c>
      <c r="W196" s="7">
        <v>-0.45687389901643799</v>
      </c>
      <c r="X196" s="6">
        <f>IF(W196&lt;=-0.65,-1,IF(W196&gt;=0.65,ROUND(W196,0),0))</f>
        <v>0</v>
      </c>
    </row>
    <row r="197" spans="1:24" x14ac:dyDescent="0.2">
      <c r="A197">
        <v>298</v>
      </c>
      <c r="B197" s="4">
        <v>1486094.75</v>
      </c>
      <c r="C197" s="9">
        <f>B197/12</f>
        <v>123841.22916666667</v>
      </c>
      <c r="D197" s="4">
        <v>86133.28</v>
      </c>
      <c r="E197" s="4">
        <v>7177.7733333333335</v>
      </c>
      <c r="F197" s="5">
        <v>106467</v>
      </c>
      <c r="G197" t="s">
        <v>18</v>
      </c>
      <c r="H197" t="s">
        <v>35</v>
      </c>
      <c r="I197" t="s">
        <v>121</v>
      </c>
      <c r="J197" t="s">
        <v>347</v>
      </c>
      <c r="K197" s="10">
        <f>F197/(Q197*174*12)</f>
        <v>12.857556910814573</v>
      </c>
      <c r="L197" s="3">
        <v>13.958266411188401</v>
      </c>
      <c r="M197" s="2">
        <v>0.36213181561942798</v>
      </c>
      <c r="N197" s="1">
        <v>0.92169540229885105</v>
      </c>
      <c r="O197" s="1">
        <v>1.10608237547893</v>
      </c>
      <c r="P197" s="1">
        <v>1.9379789272030701</v>
      </c>
      <c r="Q197" s="19">
        <v>3.9657567049808402</v>
      </c>
      <c r="R197" s="1">
        <v>0.32950191570881199</v>
      </c>
      <c r="S197" s="16">
        <f>Q197+R197</f>
        <v>4.2952586206896521</v>
      </c>
      <c r="T197" s="1">
        <v>0.40421455938697298</v>
      </c>
      <c r="U197" s="1">
        <v>5.1818531109851058</v>
      </c>
      <c r="V197" s="1">
        <v>-1.2160964060042601</v>
      </c>
      <c r="W197" s="7">
        <v>-0.75864244671101999</v>
      </c>
      <c r="X197" s="6">
        <f>IF(W197&lt;=-0.65,-1,IF(W197&gt;=0.65,ROUND(W197,0),0))</f>
        <v>-1</v>
      </c>
    </row>
    <row r="198" spans="1:24" x14ac:dyDescent="0.2">
      <c r="A198">
        <v>299</v>
      </c>
      <c r="B198" s="4">
        <v>1295245</v>
      </c>
      <c r="C198" s="9">
        <f>B198/12</f>
        <v>107937.08333333333</v>
      </c>
      <c r="D198" s="4">
        <v>104711.67</v>
      </c>
      <c r="E198" s="4">
        <v>8725.9724999999999</v>
      </c>
      <c r="F198" s="5">
        <v>97104</v>
      </c>
      <c r="G198" t="s">
        <v>18</v>
      </c>
      <c r="H198" t="s">
        <v>31</v>
      </c>
      <c r="I198" t="s">
        <v>122</v>
      </c>
      <c r="J198" t="s">
        <v>137</v>
      </c>
      <c r="K198" s="10">
        <f>F198/(Q198*174*12)</f>
        <v>9.4981170831906869</v>
      </c>
      <c r="L198" s="3">
        <v>13.338739907727801</v>
      </c>
      <c r="M198" s="2">
        <v>0.34364899304764701</v>
      </c>
      <c r="N198" s="1">
        <v>0.85368773946360199</v>
      </c>
      <c r="O198" s="1">
        <v>1.71408045977011</v>
      </c>
      <c r="P198" s="1">
        <v>2.3285440613026802</v>
      </c>
      <c r="Q198" s="19">
        <v>4.8963122605363996</v>
      </c>
      <c r="R198" s="1">
        <v>0.68079501915708796</v>
      </c>
      <c r="S198" s="16">
        <f>Q198+R198</f>
        <v>5.5771072796934877</v>
      </c>
      <c r="T198" s="1">
        <v>0.35991379310344801</v>
      </c>
      <c r="U198" s="1">
        <v>4.7897896350377147</v>
      </c>
      <c r="V198" s="1">
        <v>0.106522625498686</v>
      </c>
      <c r="W198" s="7">
        <v>0.28286736929156597</v>
      </c>
      <c r="X198" s="6">
        <f>IF(W198&lt;=-0.65,-1,IF(W198&gt;=0.65,ROUND(W198,0),0))</f>
        <v>0</v>
      </c>
    </row>
    <row r="199" spans="1:24" x14ac:dyDescent="0.2">
      <c r="A199">
        <v>300</v>
      </c>
      <c r="B199" s="4">
        <v>1970221.14</v>
      </c>
      <c r="C199" s="9">
        <f>B199/12</f>
        <v>164185.095</v>
      </c>
      <c r="D199" s="4">
        <v>100617.92</v>
      </c>
      <c r="E199" s="4">
        <v>8384.8266666666659</v>
      </c>
      <c r="F199" s="5">
        <v>125934</v>
      </c>
      <c r="G199" t="s">
        <v>18</v>
      </c>
      <c r="H199" t="s">
        <v>46</v>
      </c>
      <c r="I199" t="s">
        <v>123</v>
      </c>
      <c r="J199" t="s">
        <v>175</v>
      </c>
      <c r="K199" s="10">
        <f>F199/(Q199*174*12)</f>
        <v>12.523892397195553</v>
      </c>
      <c r="L199" s="3">
        <v>15.6448706465291</v>
      </c>
      <c r="M199" s="2">
        <v>0.41189428614089502</v>
      </c>
      <c r="N199" s="1">
        <v>0.88242337164750995</v>
      </c>
      <c r="O199" s="1">
        <v>2.0354406130268199</v>
      </c>
      <c r="P199" s="1">
        <v>1.89798850574713</v>
      </c>
      <c r="Q199" s="19">
        <v>4.8158524904214604</v>
      </c>
      <c r="R199" s="1">
        <v>0.41235632183908</v>
      </c>
      <c r="S199" s="16">
        <f>Q199+R199</f>
        <v>5.2282088122605401</v>
      </c>
      <c r="T199" s="1">
        <v>0.345067049808429</v>
      </c>
      <c r="U199" s="1">
        <v>6.031842652365845</v>
      </c>
      <c r="V199" s="1">
        <v>-1.21599016194439</v>
      </c>
      <c r="W199" s="7">
        <v>-1.10873239547155</v>
      </c>
      <c r="X199" s="6">
        <f>IF(W199&lt;=-0.65,-1,IF(W199&gt;=0.65,ROUND(W199,0),0))</f>
        <v>-1</v>
      </c>
    </row>
    <row r="200" spans="1:24" x14ac:dyDescent="0.2">
      <c r="A200">
        <v>301</v>
      </c>
      <c r="B200" s="4">
        <v>1243669.92</v>
      </c>
      <c r="C200" s="9">
        <f>B200/12</f>
        <v>103639.15999999999</v>
      </c>
      <c r="D200" s="4">
        <v>104061.49</v>
      </c>
      <c r="E200" s="4">
        <v>8671.7908333333344</v>
      </c>
      <c r="F200" s="5">
        <v>81961</v>
      </c>
      <c r="G200" t="s">
        <v>18</v>
      </c>
      <c r="H200" t="s">
        <v>54</v>
      </c>
      <c r="I200" t="s">
        <v>123</v>
      </c>
      <c r="J200" t="s">
        <v>175</v>
      </c>
      <c r="K200" s="10">
        <f>F200/(Q200*174*12)</f>
        <v>7.0431382658760802</v>
      </c>
      <c r="L200" s="3">
        <v>15.173923207379101</v>
      </c>
      <c r="M200" s="2">
        <v>0.35200750855178697</v>
      </c>
      <c r="N200" s="1">
        <v>0.89535440613026795</v>
      </c>
      <c r="O200" s="1">
        <v>1.7837643678160899</v>
      </c>
      <c r="P200" s="1">
        <v>2.89415708812261</v>
      </c>
      <c r="Q200" s="19">
        <v>5.5732758620689697</v>
      </c>
      <c r="R200" s="1">
        <v>0.98778735632183901</v>
      </c>
      <c r="S200" s="16">
        <f>Q200+R200</f>
        <v>6.5610632183908084</v>
      </c>
      <c r="T200" s="1">
        <v>0.67528735632183901</v>
      </c>
      <c r="U200" s="1">
        <v>4.1765008817892504</v>
      </c>
      <c r="V200" s="1">
        <v>1.39677498027971</v>
      </c>
      <c r="W200" s="7">
        <v>1.31025115050069</v>
      </c>
      <c r="X200" s="6">
        <f>IF(W200&lt;=-0.65,-1,IF(W200&gt;=0.65,ROUND(W200,0),0))</f>
        <v>1</v>
      </c>
    </row>
    <row r="201" spans="1:24" x14ac:dyDescent="0.2">
      <c r="A201">
        <v>305</v>
      </c>
      <c r="B201" s="4">
        <v>898196.54</v>
      </c>
      <c r="C201" s="9">
        <f>B201/12</f>
        <v>74849.71166666667</v>
      </c>
      <c r="D201" s="4">
        <v>58590.83</v>
      </c>
      <c r="E201" s="4">
        <v>4882.5691666666671</v>
      </c>
      <c r="F201" s="5">
        <v>24201</v>
      </c>
      <c r="G201" t="s">
        <v>208</v>
      </c>
      <c r="H201" t="s">
        <v>37</v>
      </c>
      <c r="I201" t="s">
        <v>211</v>
      </c>
      <c r="J201" t="s">
        <v>334</v>
      </c>
      <c r="K201" s="10">
        <f>F201/(Q201*174*12)</f>
        <v>4.6643538594969609</v>
      </c>
      <c r="L201" s="3">
        <v>37.114025866699698</v>
      </c>
      <c r="M201" s="2">
        <v>0.86682477089034404</v>
      </c>
      <c r="N201" s="1">
        <v>0.881465517241379</v>
      </c>
      <c r="O201" s="1">
        <v>0.83908045977011503</v>
      </c>
      <c r="P201" s="1">
        <v>0.76436781609195403</v>
      </c>
      <c r="Q201" s="19">
        <v>2.4849137931034502</v>
      </c>
      <c r="R201" s="1">
        <v>0.44444444444444398</v>
      </c>
      <c r="S201" s="16">
        <f>Q201+R201</f>
        <v>2.9293582375478939</v>
      </c>
      <c r="T201" s="1">
        <v>6.0584291187739503E-2</v>
      </c>
      <c r="U201" s="1">
        <v>1.62869716465517</v>
      </c>
      <c r="V201" s="1">
        <v>0.85621662844827595</v>
      </c>
      <c r="W201" s="7">
        <v>0</v>
      </c>
      <c r="X201" s="6">
        <f>IF(W201&lt;=-0.65,-1,IF(W201&gt;=0.65,ROUND(W201,0),0))</f>
        <v>0</v>
      </c>
    </row>
    <row r="202" spans="1:24" x14ac:dyDescent="0.2">
      <c r="A202">
        <v>306</v>
      </c>
      <c r="B202" s="4">
        <v>289648.3</v>
      </c>
      <c r="C202" s="9">
        <f>B202/12</f>
        <v>24137.358333333334</v>
      </c>
      <c r="D202" s="4">
        <v>35334.5</v>
      </c>
      <c r="E202" s="4">
        <v>2944.5416666666665</v>
      </c>
      <c r="F202" s="5">
        <v>13765</v>
      </c>
      <c r="G202" t="s">
        <v>270</v>
      </c>
      <c r="H202" t="s">
        <v>37</v>
      </c>
      <c r="I202" t="s">
        <v>211</v>
      </c>
      <c r="J202" t="s">
        <v>334</v>
      </c>
      <c r="K202" s="10">
        <f>F202/(Q202*174*12)</f>
        <v>5.5004995004994921</v>
      </c>
      <c r="L202" s="3">
        <v>21.042375590265198</v>
      </c>
      <c r="M202" s="2">
        <v>0.75242433668694098</v>
      </c>
      <c r="N202" s="1">
        <v>0.75550766283524895</v>
      </c>
      <c r="O202" s="1">
        <v>0.15373563218390801</v>
      </c>
      <c r="P202" s="1">
        <v>0.28927203065134099</v>
      </c>
      <c r="Q202" s="19">
        <v>1.1985153256704999</v>
      </c>
      <c r="R202" s="1">
        <v>0.18007662835249</v>
      </c>
      <c r="S202" s="16">
        <f>Q202+R202</f>
        <v>1.3785919540229898</v>
      </c>
      <c r="T202" s="1">
        <v>0.21886973180076599</v>
      </c>
      <c r="U202" s="1">
        <v>0.97761693342911904</v>
      </c>
      <c r="V202" s="1">
        <v>0.220898392241379</v>
      </c>
      <c r="W202" s="7">
        <v>1.8331215325838701E-2</v>
      </c>
      <c r="X202" s="6">
        <f>IF(W202&lt;=-0.65,-1,IF(W202&gt;=0.65,ROUND(W202,0),0))</f>
        <v>0</v>
      </c>
    </row>
    <row r="203" spans="1:24" x14ac:dyDescent="0.2">
      <c r="A203">
        <v>307</v>
      </c>
      <c r="B203" s="4">
        <v>1367388.86</v>
      </c>
      <c r="C203" s="9">
        <f>B203/12</f>
        <v>113949.07166666667</v>
      </c>
      <c r="D203" s="4">
        <v>103357.2</v>
      </c>
      <c r="E203" s="4">
        <v>8613.1</v>
      </c>
      <c r="F203" s="5">
        <v>96484</v>
      </c>
      <c r="G203" t="s">
        <v>18</v>
      </c>
      <c r="H203" t="s">
        <v>61</v>
      </c>
      <c r="I203" t="s">
        <v>124</v>
      </c>
      <c r="J203" t="s">
        <v>163</v>
      </c>
      <c r="K203" s="10">
        <f>F203/(Q203*174*12)</f>
        <v>9.4801277327438029</v>
      </c>
      <c r="L203" s="3">
        <v>14.172182538037401</v>
      </c>
      <c r="M203" s="2">
        <v>0.42716531272603803</v>
      </c>
      <c r="N203" s="1">
        <v>0.797653256704981</v>
      </c>
      <c r="O203" s="1">
        <v>1.4806034482758601</v>
      </c>
      <c r="P203" s="1">
        <v>2.59602490421456</v>
      </c>
      <c r="Q203" s="19">
        <v>4.8742816091953998</v>
      </c>
      <c r="R203" s="1">
        <v>0.65110153256704995</v>
      </c>
      <c r="S203" s="16">
        <f>Q203+R203</f>
        <v>5.5253831417624495</v>
      </c>
      <c r="T203" s="1">
        <v>0.14343869731800801</v>
      </c>
      <c r="U203" s="1">
        <v>4.7641865937117753</v>
      </c>
      <c r="V203" s="1">
        <v>0.11009501548362501</v>
      </c>
      <c r="W203" s="7">
        <v>0.175584519393266</v>
      </c>
      <c r="X203" s="6">
        <f>IF(W203&lt;=-0.65,-1,IF(W203&gt;=0.65,ROUND(W203,0),0))</f>
        <v>0</v>
      </c>
    </row>
    <row r="204" spans="1:24" x14ac:dyDescent="0.2">
      <c r="A204">
        <v>308</v>
      </c>
      <c r="B204" s="4">
        <v>1357083.97</v>
      </c>
      <c r="C204" s="9">
        <f>B204/12</f>
        <v>113090.33083333333</v>
      </c>
      <c r="D204" s="4">
        <v>93409.279999999999</v>
      </c>
      <c r="E204" s="4">
        <v>7784.1066666666666</v>
      </c>
      <c r="F204" s="5">
        <v>86230</v>
      </c>
      <c r="G204" t="s">
        <v>18</v>
      </c>
      <c r="H204" t="s">
        <v>40</v>
      </c>
      <c r="I204" t="s">
        <v>125</v>
      </c>
      <c r="J204" t="s">
        <v>341</v>
      </c>
      <c r="K204" s="10">
        <f>F204/(Q204*174*12)</f>
        <v>9.3646828844482943</v>
      </c>
      <c r="L204" s="3">
        <v>15.737956279717</v>
      </c>
      <c r="M204" s="2">
        <v>0.49077095059932102</v>
      </c>
      <c r="N204" s="1">
        <v>0.78568007662835304</v>
      </c>
      <c r="O204" s="1">
        <v>1.9240900383141799</v>
      </c>
      <c r="P204" s="1">
        <v>1.7001915708812301</v>
      </c>
      <c r="Q204" s="19">
        <v>4.4099616858237596</v>
      </c>
      <c r="R204" s="1">
        <v>0.67025862068965503</v>
      </c>
      <c r="S204" s="16">
        <f>Q204+R204</f>
        <v>5.0802203065134144</v>
      </c>
      <c r="T204" s="1">
        <v>0.25526819923371602</v>
      </c>
      <c r="U204" s="1">
        <v>4.3469117488821452</v>
      </c>
      <c r="V204" s="1">
        <v>6.3049936941610901E-2</v>
      </c>
      <c r="W204" s="7">
        <v>0</v>
      </c>
      <c r="X204" s="6">
        <f>IF(W204&lt;=-0.65,-1,IF(W204&gt;=0.65,ROUND(W204,0),0))</f>
        <v>0</v>
      </c>
    </row>
    <row r="205" spans="1:24" x14ac:dyDescent="0.2">
      <c r="A205">
        <v>311</v>
      </c>
      <c r="B205" s="4">
        <v>351078.24</v>
      </c>
      <c r="C205" s="9">
        <f>B205/12</f>
        <v>29256.52</v>
      </c>
      <c r="D205" s="4">
        <v>37668.74</v>
      </c>
      <c r="E205" s="4">
        <v>3139.0616666666665</v>
      </c>
      <c r="F205" s="5">
        <v>16076</v>
      </c>
      <c r="G205" t="s">
        <v>270</v>
      </c>
      <c r="H205" t="s">
        <v>54</v>
      </c>
      <c r="I205" t="s">
        <v>273</v>
      </c>
      <c r="J205" t="s">
        <v>273</v>
      </c>
      <c r="K205" s="10">
        <f>F205/(Q205*174*12)</f>
        <v>4.3035738187658916</v>
      </c>
      <c r="L205" s="3">
        <v>21.838656382184599</v>
      </c>
      <c r="M205" s="2">
        <v>0.71662222643021101</v>
      </c>
      <c r="N205" s="1">
        <v>0.860153256704981</v>
      </c>
      <c r="O205" s="1">
        <v>0.104406130268199</v>
      </c>
      <c r="P205" s="1">
        <v>0.82447318007662795</v>
      </c>
      <c r="Q205" s="19">
        <v>1.78903256704981</v>
      </c>
      <c r="R205" s="1">
        <v>0.28280651340996199</v>
      </c>
      <c r="S205" s="16">
        <f>Q205+R205</f>
        <v>2.0718390804597719</v>
      </c>
      <c r="T205" s="1">
        <v>0.12595785440613</v>
      </c>
      <c r="U205" s="1">
        <v>1.1417486249042099</v>
      </c>
      <c r="V205" s="1">
        <v>0.64728394214559404</v>
      </c>
      <c r="W205" s="7">
        <v>0.41337444716500699</v>
      </c>
      <c r="X205" s="6">
        <f>IF(W205&lt;=-0.65,-1,IF(W205&gt;=0.65,ROUND(W205,0),0))</f>
        <v>0</v>
      </c>
    </row>
    <row r="206" spans="1:24" x14ac:dyDescent="0.2">
      <c r="A206">
        <v>312</v>
      </c>
      <c r="B206" s="4">
        <v>868788.54</v>
      </c>
      <c r="C206" s="9">
        <f>B206/12</f>
        <v>72399.044999999998</v>
      </c>
      <c r="D206" s="4">
        <v>61009.77</v>
      </c>
      <c r="E206" s="4">
        <v>5084.1475</v>
      </c>
      <c r="F206" s="5">
        <v>33610</v>
      </c>
      <c r="G206" t="s">
        <v>136</v>
      </c>
      <c r="H206" t="s">
        <v>46</v>
      </c>
      <c r="I206" t="s">
        <v>180</v>
      </c>
      <c r="J206" t="s">
        <v>175</v>
      </c>
      <c r="K206" s="10">
        <f>F206/(Q206*174*12)</f>
        <v>5.334073956514839</v>
      </c>
      <c r="L206" s="3">
        <v>25.8491085986314</v>
      </c>
      <c r="M206" s="2">
        <v>0.66884166082577501</v>
      </c>
      <c r="N206" s="1">
        <v>0.47629310344827602</v>
      </c>
      <c r="O206" s="1">
        <v>2.2732279693486599</v>
      </c>
      <c r="P206" s="1">
        <v>0.26819923371647503</v>
      </c>
      <c r="Q206" s="19">
        <v>3.0177203065134099</v>
      </c>
      <c r="R206" s="1">
        <v>0.43510536398467398</v>
      </c>
      <c r="S206" s="16">
        <f>Q206+R206</f>
        <v>3.452825670498084</v>
      </c>
      <c r="T206" s="1">
        <v>3.8553639846743301E-2</v>
      </c>
      <c r="U206" s="1">
        <v>2.47343684243295</v>
      </c>
      <c r="V206" s="1">
        <v>0.54428346408045902</v>
      </c>
      <c r="W206" s="7">
        <v>0.43670033933180202</v>
      </c>
      <c r="X206" s="6">
        <f>IF(W206&lt;=-0.65,-1,IF(W206&gt;=0.65,ROUND(W206,0),0))</f>
        <v>0</v>
      </c>
    </row>
    <row r="207" spans="1:24" x14ac:dyDescent="0.2">
      <c r="A207">
        <v>313</v>
      </c>
      <c r="B207" s="4">
        <v>1011263.09</v>
      </c>
      <c r="C207" s="9">
        <f>B207/12</f>
        <v>84271.924166666664</v>
      </c>
      <c r="D207" s="4">
        <v>65560.59</v>
      </c>
      <c r="E207" s="4">
        <v>5463.3824999999997</v>
      </c>
      <c r="F207" s="5">
        <v>38152</v>
      </c>
      <c r="G207" t="s">
        <v>136</v>
      </c>
      <c r="H207" t="s">
        <v>37</v>
      </c>
      <c r="I207" t="s">
        <v>181</v>
      </c>
      <c r="J207" t="s">
        <v>316</v>
      </c>
      <c r="K207" s="10">
        <f>F207/(Q207*174*12)</f>
        <v>5.7192969306299952</v>
      </c>
      <c r="L207" s="3">
        <v>26.506161931222501</v>
      </c>
      <c r="M207" s="2">
        <v>0.716132811689983</v>
      </c>
      <c r="N207" s="1">
        <v>0.83512931034482796</v>
      </c>
      <c r="O207" s="1">
        <v>0.78807471264367801</v>
      </c>
      <c r="P207" s="1">
        <v>1.57159961685824</v>
      </c>
      <c r="Q207" s="19">
        <v>3.1948036398467399</v>
      </c>
      <c r="R207" s="1">
        <v>0.41391283524904199</v>
      </c>
      <c r="S207" s="16">
        <f>Q207+R207</f>
        <v>3.6087164750957816</v>
      </c>
      <c r="T207" s="1" t="s">
        <v>388</v>
      </c>
      <c r="U207" s="1">
        <v>2.8076930203065098</v>
      </c>
      <c r="V207" s="1">
        <v>0.38711061954022902</v>
      </c>
      <c r="W207" s="7">
        <v>0.27410454105388898</v>
      </c>
      <c r="X207" s="6">
        <f>IF(W207&lt;=-0.65,-1,IF(W207&gt;=0.65,ROUND(W207,0),0))</f>
        <v>0</v>
      </c>
    </row>
    <row r="208" spans="1:24" x14ac:dyDescent="0.2">
      <c r="A208">
        <v>316</v>
      </c>
      <c r="B208" s="4">
        <v>713014.73</v>
      </c>
      <c r="C208" s="9">
        <f>B208/12</f>
        <v>59417.894166666665</v>
      </c>
      <c r="D208" s="4">
        <v>53333.48</v>
      </c>
      <c r="E208" s="4">
        <v>4444.4566666666669</v>
      </c>
      <c r="F208" s="5">
        <v>32092</v>
      </c>
      <c r="G208" t="s">
        <v>208</v>
      </c>
      <c r="H208" t="s">
        <v>43</v>
      </c>
      <c r="I208" t="s">
        <v>230</v>
      </c>
      <c r="J208" t="s">
        <v>373</v>
      </c>
      <c r="K208" s="10">
        <f>F208/(Q208*174*12)</f>
        <v>6.0266666666666646</v>
      </c>
      <c r="L208" s="3">
        <v>22.217834039635999</v>
      </c>
      <c r="M208" s="2">
        <v>0.66349434323748102</v>
      </c>
      <c r="N208" s="1">
        <v>8.1417624521072804E-2</v>
      </c>
      <c r="O208" s="1">
        <v>2.4612068965517202</v>
      </c>
      <c r="P208" s="1">
        <v>7.6628352490421504E-3</v>
      </c>
      <c r="Q208" s="19">
        <v>2.55028735632184</v>
      </c>
      <c r="R208" s="1">
        <v>0.45689655172413801</v>
      </c>
      <c r="S208" s="16">
        <f>Q208+R208</f>
        <v>3.0071839080459779</v>
      </c>
      <c r="T208" s="1">
        <v>3.2567049808429102E-2</v>
      </c>
      <c r="U208" s="1">
        <v>2.1597516386973199</v>
      </c>
      <c r="V208" s="1">
        <v>0.39053571762452099</v>
      </c>
      <c r="W208" s="7">
        <v>0.264546184428892</v>
      </c>
      <c r="X208" s="6">
        <f>IF(W208&lt;=-0.65,-1,IF(W208&gt;=0.65,ROUND(W208,0),0))</f>
        <v>0</v>
      </c>
    </row>
    <row r="209" spans="1:24" x14ac:dyDescent="0.2">
      <c r="A209">
        <v>317</v>
      </c>
      <c r="B209" s="4">
        <v>748242.6</v>
      </c>
      <c r="C209" s="9">
        <f>B209/12</f>
        <v>62353.549999999996</v>
      </c>
      <c r="D209" s="4">
        <v>50633.94</v>
      </c>
      <c r="E209" s="4">
        <v>4219.4949999999999</v>
      </c>
      <c r="F209" s="5">
        <v>28331</v>
      </c>
      <c r="G209" t="s">
        <v>208</v>
      </c>
      <c r="H209" t="s">
        <v>54</v>
      </c>
      <c r="I209" t="s">
        <v>223</v>
      </c>
      <c r="J209" t="s">
        <v>323</v>
      </c>
      <c r="K209" s="10">
        <f>F209/(Q209*174*12)</f>
        <v>5.5816381815495344</v>
      </c>
      <c r="L209" s="3">
        <v>26.410737354841</v>
      </c>
      <c r="M209" s="2">
        <v>0.74665063176034097</v>
      </c>
      <c r="N209" s="1">
        <v>0.77286877394636</v>
      </c>
      <c r="O209" s="1">
        <v>0.81130268199233702</v>
      </c>
      <c r="P209" s="1">
        <v>0.84674329501915702</v>
      </c>
      <c r="Q209" s="19">
        <v>2.4309147509578501</v>
      </c>
      <c r="R209" s="1">
        <v>0.61661877394636</v>
      </c>
      <c r="S209" s="16">
        <f>Q209+R209</f>
        <v>3.0475335249042104</v>
      </c>
      <c r="T209" s="1">
        <v>9.6623563218390801E-2</v>
      </c>
      <c r="U209" s="1">
        <v>1.90664102193487</v>
      </c>
      <c r="V209" s="1">
        <v>0.52427372902298897</v>
      </c>
      <c r="W209" s="7">
        <v>0.23203963603226699</v>
      </c>
      <c r="X209" s="6">
        <f>IF(W209&lt;=-0.65,-1,IF(W209&gt;=0.65,ROUND(W209,0),0))</f>
        <v>0</v>
      </c>
    </row>
    <row r="210" spans="1:24" x14ac:dyDescent="0.2">
      <c r="A210">
        <v>319</v>
      </c>
      <c r="B210" s="4">
        <v>836339.64</v>
      </c>
      <c r="C210" s="9">
        <f>B210/12</f>
        <v>69694.97</v>
      </c>
      <c r="D210" s="4">
        <v>55398.69</v>
      </c>
      <c r="E210" s="4">
        <v>4616.5574999999999</v>
      </c>
      <c r="F210" s="5">
        <v>47716</v>
      </c>
      <c r="G210" t="s">
        <v>18</v>
      </c>
      <c r="H210" t="s">
        <v>31</v>
      </c>
      <c r="I210" t="s">
        <v>126</v>
      </c>
      <c r="J210" t="s">
        <v>126</v>
      </c>
      <c r="K210" s="10">
        <f>F210/(Q210*174*12)</f>
        <v>9.5556223090016914</v>
      </c>
      <c r="L210" s="3">
        <v>17.5274465588063</v>
      </c>
      <c r="M210" s="2">
        <v>0.47553137622413799</v>
      </c>
      <c r="N210" s="1">
        <v>0.57040229885057503</v>
      </c>
      <c r="O210" s="1">
        <v>0.92816091954022995</v>
      </c>
      <c r="P210" s="1">
        <v>0.89295977011494299</v>
      </c>
      <c r="Q210" s="19">
        <v>2.3915229885057498</v>
      </c>
      <c r="R210" s="1">
        <v>0.66355363984674298</v>
      </c>
      <c r="S210" s="16">
        <f>Q210+R210</f>
        <v>3.0550766283524928</v>
      </c>
      <c r="T210" s="1">
        <v>2.1551724137931001E-2</v>
      </c>
      <c r="U210" s="1">
        <v>2.8725409112726101</v>
      </c>
      <c r="V210" s="1">
        <v>-0.48101792276686201</v>
      </c>
      <c r="W210" s="7">
        <v>-0.659741898938356</v>
      </c>
      <c r="X210" s="6">
        <f>IF(W210&lt;=-0.65,-1,IF(W210&gt;=0.65,ROUND(W210,0),0))</f>
        <v>-1</v>
      </c>
    </row>
    <row r="211" spans="1:24" x14ac:dyDescent="0.2">
      <c r="A211">
        <v>320</v>
      </c>
      <c r="B211" s="4">
        <v>756741.96</v>
      </c>
      <c r="C211" s="9">
        <f>B211/12</f>
        <v>63061.829999999994</v>
      </c>
      <c r="D211" s="4">
        <v>58392.52</v>
      </c>
      <c r="E211" s="4">
        <v>4866.0433333333331</v>
      </c>
      <c r="F211" s="5">
        <v>39820</v>
      </c>
      <c r="G211" t="s">
        <v>208</v>
      </c>
      <c r="H211" t="s">
        <v>31</v>
      </c>
      <c r="I211" t="s">
        <v>126</v>
      </c>
      <c r="J211" t="s">
        <v>126</v>
      </c>
      <c r="K211" s="10">
        <f>F211/(Q211*174*12)</f>
        <v>7.0390666430970583</v>
      </c>
      <c r="L211" s="3">
        <v>19.0040673028629</v>
      </c>
      <c r="M211" s="2">
        <v>0.58210410322694395</v>
      </c>
      <c r="N211" s="1">
        <v>0.88433908045977005</v>
      </c>
      <c r="O211" s="1">
        <v>0.87140804597701205</v>
      </c>
      <c r="P211" s="1">
        <v>0.95354406130268199</v>
      </c>
      <c r="Q211" s="19">
        <v>2.7092911877394599</v>
      </c>
      <c r="R211" s="1">
        <v>0.47030651340996199</v>
      </c>
      <c r="S211" s="16">
        <f>Q211+R211</f>
        <v>3.1795977011494219</v>
      </c>
      <c r="T211" s="1">
        <v>9.5545977011494296E-2</v>
      </c>
      <c r="U211" s="1">
        <v>2.6798364157088099</v>
      </c>
      <c r="V211" s="1">
        <v>2.9454772030651701E-2</v>
      </c>
      <c r="W211" s="7">
        <v>0</v>
      </c>
      <c r="X211" s="6">
        <f>IF(W211&lt;=-0.65,-1,IF(W211&gt;=0.65,ROUND(W211,0),0))</f>
        <v>0</v>
      </c>
    </row>
    <row r="212" spans="1:24" x14ac:dyDescent="0.2">
      <c r="A212">
        <v>331</v>
      </c>
      <c r="B212" s="4">
        <v>599693.37</v>
      </c>
      <c r="C212" s="9">
        <f>B212/12</f>
        <v>49974.447500000002</v>
      </c>
      <c r="D212" s="4">
        <v>44143.9</v>
      </c>
      <c r="E212" s="4">
        <v>3678.6583333333333</v>
      </c>
      <c r="F212" s="5">
        <v>27521</v>
      </c>
      <c r="G212" t="s">
        <v>270</v>
      </c>
      <c r="H212" t="s">
        <v>25</v>
      </c>
      <c r="I212" t="s">
        <v>276</v>
      </c>
      <c r="J212" t="s">
        <v>276</v>
      </c>
      <c r="K212" s="10">
        <f>F212/(Q212*174*12)</f>
        <v>5.5119166833567101</v>
      </c>
      <c r="L212" s="3">
        <v>21.790391700882999</v>
      </c>
      <c r="M212" s="2">
        <v>0.70694503425975797</v>
      </c>
      <c r="N212" s="1">
        <v>0.73227969348659006</v>
      </c>
      <c r="O212" s="1">
        <v>0.84482758620689702</v>
      </c>
      <c r="P212" s="1">
        <v>0.81417624521072796</v>
      </c>
      <c r="Q212" s="19">
        <v>2.3912835249042099</v>
      </c>
      <c r="R212" s="1">
        <v>0.32183908045977</v>
      </c>
      <c r="S212" s="16">
        <f>Q212+R212</f>
        <v>2.7131226053639801</v>
      </c>
      <c r="T212" s="1" t="s">
        <v>388</v>
      </c>
      <c r="U212" s="1">
        <v>1.95459466944444</v>
      </c>
      <c r="V212" s="1">
        <v>0.43668885545976999</v>
      </c>
      <c r="W212" s="7">
        <v>0.20482727895366701</v>
      </c>
      <c r="X212" s="6">
        <f>IF(W212&lt;=-0.65,-1,IF(W212&gt;=0.65,ROUND(W212,0),0))</f>
        <v>0</v>
      </c>
    </row>
    <row r="213" spans="1:24" x14ac:dyDescent="0.2">
      <c r="A213">
        <v>332</v>
      </c>
      <c r="B213" s="4">
        <v>788031.2</v>
      </c>
      <c r="C213" s="9">
        <f>B213/12</f>
        <v>65669.266666666663</v>
      </c>
      <c r="D213" s="4">
        <v>61300.56</v>
      </c>
      <c r="E213" s="4">
        <v>5108.38</v>
      </c>
      <c r="F213" s="5">
        <v>34321</v>
      </c>
      <c r="G213" t="s">
        <v>208</v>
      </c>
      <c r="H213" t="s">
        <v>43</v>
      </c>
      <c r="I213" t="s">
        <v>217</v>
      </c>
      <c r="J213" t="s">
        <v>217</v>
      </c>
      <c r="K213" s="10">
        <f>F213/(Q213*174*12)</f>
        <v>5.4151151782896809</v>
      </c>
      <c r="L213" s="3">
        <v>22.960613035750701</v>
      </c>
      <c r="M213" s="2">
        <v>0.733905358061965</v>
      </c>
      <c r="N213" s="1">
        <v>0.81992337164750995</v>
      </c>
      <c r="O213" s="1">
        <v>1.33931992337165</v>
      </c>
      <c r="P213" s="1">
        <v>0.87619731800766298</v>
      </c>
      <c r="Q213" s="19">
        <v>3.0354406130268199</v>
      </c>
      <c r="R213" s="1">
        <v>0.50766283524904199</v>
      </c>
      <c r="S213" s="16">
        <f>Q213+R213</f>
        <v>3.5431034482758621</v>
      </c>
      <c r="T213" s="1">
        <v>0</v>
      </c>
      <c r="U213" s="1">
        <v>2.3097605631226101</v>
      </c>
      <c r="V213" s="1">
        <v>0.72568004990421497</v>
      </c>
      <c r="W213" s="7">
        <v>0.57538264593900901</v>
      </c>
      <c r="X213" s="6">
        <f>IF(W213&lt;=-0.65,-1,IF(W213&gt;=0.65,ROUND(W213,0),0))</f>
        <v>0</v>
      </c>
    </row>
    <row r="214" spans="1:24" x14ac:dyDescent="0.2">
      <c r="A214">
        <v>333</v>
      </c>
      <c r="B214" s="4">
        <v>435434.82</v>
      </c>
      <c r="C214" s="9">
        <f>B214/12</f>
        <v>36286.235000000001</v>
      </c>
      <c r="D214" s="4">
        <v>41937.32</v>
      </c>
      <c r="E214" s="4">
        <v>3494.7766666666666</v>
      </c>
      <c r="F214" s="5">
        <v>28002</v>
      </c>
      <c r="G214" t="s">
        <v>270</v>
      </c>
      <c r="H214" t="s">
        <v>19</v>
      </c>
      <c r="I214" t="s">
        <v>296</v>
      </c>
      <c r="J214" t="s">
        <v>385</v>
      </c>
      <c r="K214" s="10">
        <f>F214/(Q214*174*12)</f>
        <v>8.1698030634573158</v>
      </c>
      <c r="L214" s="3">
        <v>15.5501328476537</v>
      </c>
      <c r="M214" s="2">
        <v>0.46514642535936801</v>
      </c>
      <c r="N214" s="1">
        <v>0.82686781609195403</v>
      </c>
      <c r="O214" s="1">
        <v>0.20641762452107301</v>
      </c>
      <c r="P214" s="1">
        <v>0.60823754789272</v>
      </c>
      <c r="Q214" s="19">
        <v>1.6415229885057501</v>
      </c>
      <c r="R214" s="1">
        <v>0.70210727969348696</v>
      </c>
      <c r="S214" s="16">
        <f>Q214+R214</f>
        <v>2.3436302681992371</v>
      </c>
      <c r="T214" s="1">
        <v>0.58500957854406099</v>
      </c>
      <c r="U214" s="1">
        <v>1.98875622011494</v>
      </c>
      <c r="V214" s="1">
        <v>-0.347233231609196</v>
      </c>
      <c r="W214" s="7">
        <v>-4.0934795337957103E-2</v>
      </c>
      <c r="X214" s="6">
        <f>IF(W214&lt;=-0.65,-1,IF(W214&gt;=0.65,ROUND(W214,0),0))</f>
        <v>0</v>
      </c>
    </row>
    <row r="215" spans="1:24" x14ac:dyDescent="0.2">
      <c r="A215">
        <v>336</v>
      </c>
      <c r="B215" s="4">
        <v>808531.57</v>
      </c>
      <c r="C215" s="9">
        <f>B215/12</f>
        <v>67377.630833333329</v>
      </c>
      <c r="D215" s="4">
        <v>48112.06</v>
      </c>
      <c r="E215" s="4">
        <v>4009.3383333333331</v>
      </c>
      <c r="F215" s="5">
        <v>28814</v>
      </c>
      <c r="G215" t="s">
        <v>136</v>
      </c>
      <c r="H215" t="s">
        <v>43</v>
      </c>
      <c r="I215" t="s">
        <v>182</v>
      </c>
      <c r="J215" t="s">
        <v>361</v>
      </c>
      <c r="K215" s="10">
        <f>F215/(Q215*174*12)</f>
        <v>5.3870530497779772</v>
      </c>
      <c r="L215" s="3">
        <v>28.060372388422302</v>
      </c>
      <c r="M215" s="2">
        <v>0.727855487448684</v>
      </c>
      <c r="N215" s="1">
        <v>0.82902298850574696</v>
      </c>
      <c r="O215" s="1">
        <v>0.7709530651341</v>
      </c>
      <c r="P215" s="1">
        <v>0.96168582375478895</v>
      </c>
      <c r="Q215" s="19">
        <v>2.56166187739464</v>
      </c>
      <c r="R215" s="1">
        <v>0.35284961685823801</v>
      </c>
      <c r="S215" s="16">
        <f>Q215+R215</f>
        <v>2.9145114942528778</v>
      </c>
      <c r="T215" s="1">
        <v>4.0708812260536402E-2</v>
      </c>
      <c r="U215" s="1">
        <v>2.1204882230842901</v>
      </c>
      <c r="V215" s="1">
        <v>0.441173654310345</v>
      </c>
      <c r="W215" s="7">
        <v>0.31402678079341101</v>
      </c>
      <c r="X215" s="6">
        <f>IF(W215&lt;=-0.65,-1,IF(W215&gt;=0.65,ROUND(W215,0),0))</f>
        <v>0</v>
      </c>
    </row>
    <row r="216" spans="1:24" x14ac:dyDescent="0.2">
      <c r="A216">
        <v>338</v>
      </c>
      <c r="B216" s="4">
        <v>408536.79</v>
      </c>
      <c r="C216" s="9">
        <f>B216/12</f>
        <v>34044.732499999998</v>
      </c>
      <c r="D216" s="4">
        <v>35429.410000000003</v>
      </c>
      <c r="E216" s="4">
        <v>2952.4508333333338</v>
      </c>
      <c r="F216" s="5">
        <v>19069</v>
      </c>
      <c r="G216" t="s">
        <v>270</v>
      </c>
      <c r="H216" t="s">
        <v>35</v>
      </c>
      <c r="I216" t="s">
        <v>284</v>
      </c>
      <c r="J216" t="s">
        <v>284</v>
      </c>
      <c r="K216" s="10">
        <f>F216/(Q216*174*12)</f>
        <v>6.3090157154673188</v>
      </c>
      <c r="L216" s="3">
        <v>21.424132885835601</v>
      </c>
      <c r="M216" s="2">
        <v>0.64944053141456404</v>
      </c>
      <c r="N216" s="1">
        <v>0.22126436781609199</v>
      </c>
      <c r="O216" s="1">
        <v>0.95426245210728</v>
      </c>
      <c r="P216" s="1">
        <v>0.27203065134099602</v>
      </c>
      <c r="Q216" s="19">
        <v>1.44755747126437</v>
      </c>
      <c r="R216" s="1">
        <v>0.13888888888888901</v>
      </c>
      <c r="S216" s="16">
        <f>Q216+R216</f>
        <v>1.586446360153259</v>
      </c>
      <c r="T216" s="1">
        <v>0.16666666666666699</v>
      </c>
      <c r="U216" s="1">
        <v>1.3543172759578499</v>
      </c>
      <c r="V216" s="1">
        <v>9.3240195306513396E-2</v>
      </c>
      <c r="W216" s="7">
        <v>0</v>
      </c>
      <c r="X216" s="6">
        <f>IF(W216&lt;=-0.65,-1,IF(W216&gt;=0.65,ROUND(W216,0),0))</f>
        <v>0</v>
      </c>
    </row>
    <row r="217" spans="1:24" x14ac:dyDescent="0.2">
      <c r="A217">
        <v>340</v>
      </c>
      <c r="B217" s="4">
        <v>935881.2</v>
      </c>
      <c r="C217" s="9">
        <f>B217/12</f>
        <v>77990.099999999991</v>
      </c>
      <c r="D217" s="4">
        <v>54407.65</v>
      </c>
      <c r="E217" s="4">
        <v>4533.9708333333338</v>
      </c>
      <c r="F217" s="5">
        <v>46017</v>
      </c>
      <c r="G217" t="s">
        <v>208</v>
      </c>
      <c r="H217" t="s">
        <v>37</v>
      </c>
      <c r="I217" t="s">
        <v>261</v>
      </c>
      <c r="J217" t="s">
        <v>261</v>
      </c>
      <c r="K217" s="10">
        <f>F217/(Q217*174*12)</f>
        <v>8.8053960964408748</v>
      </c>
      <c r="L217" s="3">
        <v>20.337727361627199</v>
      </c>
      <c r="M217" s="2">
        <v>0.59398109503642105</v>
      </c>
      <c r="N217" s="1">
        <v>0.65996168582375503</v>
      </c>
      <c r="O217" s="1">
        <v>0.93127394636015304</v>
      </c>
      <c r="P217" s="1">
        <v>0.91163793103448298</v>
      </c>
      <c r="Q217" s="19">
        <v>2.5028735632183898</v>
      </c>
      <c r="R217" s="1">
        <v>0.57088122605364</v>
      </c>
      <c r="S217" s="16">
        <f>Q217+R217</f>
        <v>3.0737547892720301</v>
      </c>
      <c r="T217" s="1">
        <v>9.5545977011494296E-2</v>
      </c>
      <c r="U217" s="1">
        <v>3.0968867991379301</v>
      </c>
      <c r="V217" s="1">
        <v>-0.59401323591954003</v>
      </c>
      <c r="W217" s="7">
        <v>-0.333061506254547</v>
      </c>
      <c r="X217" s="6">
        <f>IF(W217&lt;=-0.65,-1,IF(W217&gt;=0.65,ROUND(W217,0),0))</f>
        <v>0</v>
      </c>
    </row>
    <row r="218" spans="1:24" x14ac:dyDescent="0.2">
      <c r="A218">
        <v>427</v>
      </c>
      <c r="B218" s="4">
        <v>961349.92</v>
      </c>
      <c r="C218" s="9">
        <f>B218/12</f>
        <v>80112.493333333332</v>
      </c>
      <c r="D218" s="4">
        <v>56537.3</v>
      </c>
      <c r="E218" s="4">
        <v>4711.4416666666666</v>
      </c>
      <c r="F218" s="5">
        <v>37902</v>
      </c>
      <c r="G218" t="s">
        <v>136</v>
      </c>
      <c r="H218" t="s">
        <v>54</v>
      </c>
      <c r="I218" t="s">
        <v>183</v>
      </c>
      <c r="J218" t="s">
        <v>362</v>
      </c>
      <c r="K218" s="10">
        <f>F218/(Q218*174*12)</f>
        <v>6.1524226929632304</v>
      </c>
      <c r="L218" s="3">
        <v>25.364094770724499</v>
      </c>
      <c r="M218" s="2">
        <v>0.76609091515813499</v>
      </c>
      <c r="N218" s="1">
        <v>0.20186781609195401</v>
      </c>
      <c r="O218" s="1">
        <v>1.1360153256704999</v>
      </c>
      <c r="P218" s="1">
        <v>1.6125478927203101</v>
      </c>
      <c r="Q218" s="19">
        <v>2.9504310344827598</v>
      </c>
      <c r="R218" s="1">
        <v>1.0256226053639801</v>
      </c>
      <c r="S218" s="16">
        <f>Q218+R218</f>
        <v>3.9760536398467399</v>
      </c>
      <c r="T218" s="1">
        <v>0.29741379310344801</v>
      </c>
      <c r="U218" s="1">
        <v>2.7892949479885099</v>
      </c>
      <c r="V218" s="1">
        <v>0.16113608649425301</v>
      </c>
      <c r="W218" s="7">
        <v>5.7351358267000302E-2</v>
      </c>
      <c r="X218" s="6">
        <f>IF(W218&lt;=-0.65,-1,IF(W218&gt;=0.65,ROUND(W218,0),0))</f>
        <v>0</v>
      </c>
    </row>
    <row r="219" spans="1:24" x14ac:dyDescent="0.2">
      <c r="A219">
        <v>451</v>
      </c>
      <c r="B219" s="4">
        <v>646204.26</v>
      </c>
      <c r="C219" s="9">
        <f>B219/12</f>
        <v>53850.355000000003</v>
      </c>
      <c r="D219" s="4">
        <v>42500.28</v>
      </c>
      <c r="E219" s="4">
        <v>3541.69</v>
      </c>
      <c r="F219" s="5">
        <v>30234</v>
      </c>
      <c r="G219" t="s">
        <v>136</v>
      </c>
      <c r="H219" t="s">
        <v>40</v>
      </c>
      <c r="I219" t="s">
        <v>184</v>
      </c>
      <c r="J219" t="s">
        <v>363</v>
      </c>
      <c r="K219" s="10">
        <f>F219/(Q219*174*12)</f>
        <v>7.9531763777456153</v>
      </c>
      <c r="L219" s="3">
        <v>21.373429251835699</v>
      </c>
      <c r="M219" s="2">
        <v>0.68003542718830101</v>
      </c>
      <c r="N219" s="1">
        <v>0.88912835249042099</v>
      </c>
      <c r="O219" s="1">
        <v>7.1120689655172403E-2</v>
      </c>
      <c r="P219" s="1">
        <v>0.86039272030651304</v>
      </c>
      <c r="Q219" s="19">
        <v>1.8206417624521101</v>
      </c>
      <c r="R219" s="1">
        <v>0.25502873563218398</v>
      </c>
      <c r="S219" s="16">
        <f>Q219+R219</f>
        <v>2.0756704980842939</v>
      </c>
      <c r="T219" s="1">
        <v>0.15086206896551699</v>
      </c>
      <c r="U219" s="1">
        <v>2.2249892738505701</v>
      </c>
      <c r="V219" s="1">
        <v>-0.40434751139846797</v>
      </c>
      <c r="W219" s="7">
        <v>-0.17907133080249801</v>
      </c>
      <c r="X219" s="6">
        <f>IF(W219&lt;=-0.65,-1,IF(W219&gt;=0.65,ROUND(W219,0),0))</f>
        <v>0</v>
      </c>
    </row>
    <row r="220" spans="1:24" x14ac:dyDescent="0.2">
      <c r="A220">
        <v>453</v>
      </c>
      <c r="B220" s="4">
        <v>1341074.47</v>
      </c>
      <c r="C220" s="9">
        <f>B220/12</f>
        <v>111756.20583333333</v>
      </c>
      <c r="D220" s="4">
        <v>70683.210000000006</v>
      </c>
      <c r="E220" s="4">
        <v>5890.2675000000008</v>
      </c>
      <c r="F220" s="5">
        <v>36958</v>
      </c>
      <c r="G220" t="s">
        <v>208</v>
      </c>
      <c r="H220" t="s">
        <v>61</v>
      </c>
      <c r="I220" t="s">
        <v>213</v>
      </c>
      <c r="J220" t="s">
        <v>366</v>
      </c>
      <c r="K220" s="10">
        <f>F220/(Q220*174*12)</f>
        <v>5.3560378247164984</v>
      </c>
      <c r="L220" s="3">
        <v>36.286445965690802</v>
      </c>
      <c r="M220" s="2">
        <v>0.84732432494968002</v>
      </c>
      <c r="N220" s="1">
        <v>0.71839080459770099</v>
      </c>
      <c r="O220" s="1">
        <v>0.895593869731801</v>
      </c>
      <c r="P220" s="1">
        <v>1.6907327586206899</v>
      </c>
      <c r="Q220" s="19">
        <v>3.30471743295019</v>
      </c>
      <c r="R220" s="1">
        <v>0.64379789272030696</v>
      </c>
      <c r="S220" s="16">
        <f>Q220+R220</f>
        <v>3.9485153256704972</v>
      </c>
      <c r="T220" s="1">
        <v>6.9444444444444397E-3</v>
      </c>
      <c r="U220" s="1">
        <v>2.48722737950192</v>
      </c>
      <c r="V220" s="1">
        <v>0.81749005344827497</v>
      </c>
      <c r="W220" s="7">
        <v>0</v>
      </c>
      <c r="X220" s="6">
        <f>IF(W220&lt;=-0.65,-1,IF(W220&gt;=0.65,ROUND(W220,0),0))</f>
        <v>0</v>
      </c>
    </row>
    <row r="221" spans="1:24" x14ac:dyDescent="0.2">
      <c r="A221">
        <v>456</v>
      </c>
      <c r="B221" s="4">
        <v>441583.35</v>
      </c>
      <c r="C221" s="9">
        <f>B221/12</f>
        <v>36798.612499999996</v>
      </c>
      <c r="D221" s="4">
        <v>36076.480000000003</v>
      </c>
      <c r="E221" s="4">
        <v>3006.3733333333334</v>
      </c>
      <c r="F221" s="5">
        <v>24535</v>
      </c>
      <c r="G221" t="s">
        <v>136</v>
      </c>
      <c r="H221" t="s">
        <v>40</v>
      </c>
      <c r="I221" t="s">
        <v>185</v>
      </c>
      <c r="J221" t="s">
        <v>311</v>
      </c>
      <c r="K221" s="10">
        <f>F221/(Q221*174*12)</f>
        <v>6.1253276744476484</v>
      </c>
      <c r="L221" s="3">
        <v>17.9980986346036</v>
      </c>
      <c r="M221" s="2">
        <v>0.62308807612424699</v>
      </c>
      <c r="N221" s="1">
        <v>0.92959770114942497</v>
      </c>
      <c r="O221" s="1">
        <v>2.75383141762452E-2</v>
      </c>
      <c r="P221" s="1">
        <v>0.96120689655172398</v>
      </c>
      <c r="Q221" s="19">
        <v>1.91834291187739</v>
      </c>
      <c r="R221" s="1">
        <v>0.18390804597701099</v>
      </c>
      <c r="S221" s="16">
        <f>Q221+R221</f>
        <v>2.1022509578544009</v>
      </c>
      <c r="T221" s="1">
        <v>0.19372605363984699</v>
      </c>
      <c r="U221" s="1">
        <v>1.80558681728927</v>
      </c>
      <c r="V221" s="1">
        <v>0.112756094588123</v>
      </c>
      <c r="W221" s="7">
        <v>4.9015002653756801E-2</v>
      </c>
      <c r="X221" s="6">
        <f>IF(W221&lt;=-0.65,-1,IF(W221&gt;=0.65,ROUND(W221,0),0))</f>
        <v>0</v>
      </c>
    </row>
    <row r="222" spans="1:24" x14ac:dyDescent="0.2">
      <c r="A222">
        <v>457</v>
      </c>
      <c r="B222" s="4">
        <v>942153.04</v>
      </c>
      <c r="C222" s="9">
        <f>B222/12</f>
        <v>78512.753333333341</v>
      </c>
      <c r="D222" s="4">
        <v>65089.62</v>
      </c>
      <c r="E222" s="4">
        <v>5424.1350000000002</v>
      </c>
      <c r="F222" s="5">
        <v>40441</v>
      </c>
      <c r="G222" t="s">
        <v>136</v>
      </c>
      <c r="H222" t="s">
        <v>37</v>
      </c>
      <c r="I222" t="s">
        <v>186</v>
      </c>
      <c r="J222" t="s">
        <v>364</v>
      </c>
      <c r="K222" s="10">
        <f>F222/(Q222*174*12)</f>
        <v>6.1056843058805681</v>
      </c>
      <c r="L222" s="3">
        <v>23.2969768304444</v>
      </c>
      <c r="M222" s="2">
        <v>0.764100405598649</v>
      </c>
      <c r="N222" s="1">
        <v>0.78735632183908</v>
      </c>
      <c r="O222" s="1">
        <v>0.70569923371647503</v>
      </c>
      <c r="P222" s="1">
        <v>1.67911877394636</v>
      </c>
      <c r="Q222" s="19">
        <v>3.17217432950192</v>
      </c>
      <c r="R222" s="1">
        <v>0.47988505747126398</v>
      </c>
      <c r="S222" s="16">
        <f>Q222+R222</f>
        <v>3.6520593869731841</v>
      </c>
      <c r="T222" s="1">
        <v>1.9157088122605401E-2</v>
      </c>
      <c r="U222" s="1">
        <v>2.9761457704501901</v>
      </c>
      <c r="V222" s="1">
        <v>0.19602855905172301</v>
      </c>
      <c r="W222" s="7">
        <v>0.106595520558159</v>
      </c>
      <c r="X222" s="6">
        <f>IF(W222&lt;=-0.65,-1,IF(W222&gt;=0.65,ROUND(W222,0),0))</f>
        <v>0</v>
      </c>
    </row>
    <row r="223" spans="1:24" x14ac:dyDescent="0.2">
      <c r="A223">
        <v>459</v>
      </c>
      <c r="B223" s="4">
        <v>1328007.95</v>
      </c>
      <c r="C223" s="9">
        <f>B223/12</f>
        <v>110667.32916666666</v>
      </c>
      <c r="D223" s="4">
        <v>70008.570000000007</v>
      </c>
      <c r="E223" s="4">
        <v>5834.0475000000006</v>
      </c>
      <c r="F223" s="5">
        <v>54235</v>
      </c>
      <c r="G223" t="s">
        <v>208</v>
      </c>
      <c r="H223" t="s">
        <v>49</v>
      </c>
      <c r="I223" t="s">
        <v>259</v>
      </c>
      <c r="J223" t="s">
        <v>329</v>
      </c>
      <c r="K223" s="10">
        <f>F223/(Q223*174*12)</f>
        <v>8.1077848787233204</v>
      </c>
      <c r="L223" s="3">
        <v>24.486179588826399</v>
      </c>
      <c r="M223" s="2">
        <v>0.530684180015639</v>
      </c>
      <c r="N223" s="1">
        <v>0.75670498084291204</v>
      </c>
      <c r="O223" s="1">
        <v>0.82998084291187701</v>
      </c>
      <c r="P223" s="1">
        <v>1.6169779693486599</v>
      </c>
      <c r="Q223" s="19">
        <v>3.2036637931034502</v>
      </c>
      <c r="R223" s="1">
        <v>0.50490900383141801</v>
      </c>
      <c r="S223" s="16">
        <f>Q223+R223</f>
        <v>3.7085727969348681</v>
      </c>
      <c r="T223" s="1">
        <v>0</v>
      </c>
      <c r="U223" s="1">
        <v>3.6499479659961702</v>
      </c>
      <c r="V223" s="1">
        <v>-0.44628417289271999</v>
      </c>
      <c r="W223" s="7">
        <v>-0.33924126520974601</v>
      </c>
      <c r="X223" s="6">
        <f>IF(W223&lt;=-0.65,-1,IF(W223&gt;=0.65,ROUND(W223,0),0))</f>
        <v>0</v>
      </c>
    </row>
    <row r="224" spans="1:24" x14ac:dyDescent="0.2">
      <c r="A224">
        <v>461</v>
      </c>
      <c r="B224" s="4">
        <v>1184607.28</v>
      </c>
      <c r="C224" s="9">
        <f>B224/12</f>
        <v>98717.273333333331</v>
      </c>
      <c r="D224" s="4">
        <v>83812.52</v>
      </c>
      <c r="E224" s="4">
        <v>6984.376666666667</v>
      </c>
      <c r="F224" s="5">
        <v>66131</v>
      </c>
      <c r="G224" t="s">
        <v>270</v>
      </c>
      <c r="H224" t="s">
        <v>98</v>
      </c>
      <c r="I224" t="s">
        <v>302</v>
      </c>
      <c r="J224" t="s">
        <v>357</v>
      </c>
      <c r="K224" s="10">
        <f>F224/(Q224*174*12)</f>
        <v>7.6609227026557454</v>
      </c>
      <c r="L224" s="3">
        <v>17.9130404802589</v>
      </c>
      <c r="M224" s="2">
        <v>0.58867535408021499</v>
      </c>
      <c r="N224" s="1">
        <v>0.68091475095785403</v>
      </c>
      <c r="O224" s="1">
        <v>1.9530651340996199</v>
      </c>
      <c r="P224" s="1">
        <v>1.5002394636015299</v>
      </c>
      <c r="Q224" s="19">
        <v>4.1342193486590002</v>
      </c>
      <c r="R224" s="1">
        <v>1.33776340996169</v>
      </c>
      <c r="S224" s="16">
        <f>Q224+R224</f>
        <v>5.4719827586206904</v>
      </c>
      <c r="T224" s="1">
        <v>9.0277777777777804E-2</v>
      </c>
      <c r="U224" s="1">
        <v>4.6967515746168598</v>
      </c>
      <c r="V224" s="1">
        <v>-0.56253222595785501</v>
      </c>
      <c r="W224" s="7">
        <v>-0.36117262193774502</v>
      </c>
      <c r="X224" s="6">
        <f>IF(W224&lt;=-0.65,-1,IF(W224&gt;=0.65,ROUND(W224,0),0))</f>
        <v>0</v>
      </c>
    </row>
    <row r="225" spans="1:24" x14ac:dyDescent="0.2">
      <c r="A225">
        <v>462</v>
      </c>
      <c r="B225" s="4">
        <v>1092045.8</v>
      </c>
      <c r="C225" s="9">
        <f>B225/12</f>
        <v>91003.816666666666</v>
      </c>
      <c r="D225" s="4">
        <v>72194.27</v>
      </c>
      <c r="E225" s="4">
        <v>6016.189166666667</v>
      </c>
      <c r="F225" s="5">
        <v>33200</v>
      </c>
      <c r="G225" t="s">
        <v>136</v>
      </c>
      <c r="H225" t="s">
        <v>40</v>
      </c>
      <c r="I225" t="s">
        <v>187</v>
      </c>
      <c r="J225" t="s">
        <v>359</v>
      </c>
      <c r="K225" s="10">
        <f>F225/(Q225*174*12)</f>
        <v>5.3541910252792002</v>
      </c>
      <c r="L225" s="3">
        <v>32.892945783132497</v>
      </c>
      <c r="M225" s="2">
        <v>0.81718771318931904</v>
      </c>
      <c r="N225" s="1">
        <v>0.89679118773946398</v>
      </c>
      <c r="O225" s="1">
        <v>1.45510057471264</v>
      </c>
      <c r="P225" s="1">
        <v>0.61781609195402298</v>
      </c>
      <c r="Q225" s="19">
        <v>2.9697078544061299</v>
      </c>
      <c r="R225" s="1">
        <v>0.85656130268199204</v>
      </c>
      <c r="S225" s="16">
        <f>Q225+R225</f>
        <v>3.826269157088122</v>
      </c>
      <c r="T225" s="1">
        <v>0.110272988505747</v>
      </c>
      <c r="U225" s="1">
        <v>2.4432640038314202</v>
      </c>
      <c r="V225" s="1">
        <v>0.52644385057471199</v>
      </c>
      <c r="W225" s="7">
        <v>0.343390570973507</v>
      </c>
      <c r="X225" s="6">
        <f>IF(W225&lt;=-0.65,-1,IF(W225&gt;=0.65,ROUND(W225,0),0))</f>
        <v>0</v>
      </c>
    </row>
    <row r="226" spans="1:24" x14ac:dyDescent="0.2">
      <c r="A226">
        <v>464</v>
      </c>
      <c r="B226" s="4">
        <v>1212481.74</v>
      </c>
      <c r="C226" s="9">
        <f>B226/12</f>
        <v>101040.145</v>
      </c>
      <c r="D226" s="4">
        <v>67182.09</v>
      </c>
      <c r="E226" s="4">
        <v>5598.5074999999997</v>
      </c>
      <c r="F226" s="5">
        <v>40170</v>
      </c>
      <c r="G226" t="s">
        <v>208</v>
      </c>
      <c r="H226" t="s">
        <v>43</v>
      </c>
      <c r="I226" t="s">
        <v>234</v>
      </c>
      <c r="J226" t="s">
        <v>319</v>
      </c>
      <c r="K226" s="10">
        <f>F226/(Q226*174*12)</f>
        <v>6.4225757454632681</v>
      </c>
      <c r="L226" s="3">
        <v>30.183762509335299</v>
      </c>
      <c r="M226" s="2">
        <v>0.83551064447370604</v>
      </c>
      <c r="N226" s="1">
        <v>0.84865900383141801</v>
      </c>
      <c r="O226" s="1">
        <v>1.3263888888888899</v>
      </c>
      <c r="P226" s="1">
        <v>0.82040229885057503</v>
      </c>
      <c r="Q226" s="19">
        <v>2.99545019157088</v>
      </c>
      <c r="R226" s="1">
        <v>1.27346743295019</v>
      </c>
      <c r="S226" s="16">
        <f>Q226+R226</f>
        <v>4.2689176245210696</v>
      </c>
      <c r="T226" s="1">
        <v>3.8793103448275898E-2</v>
      </c>
      <c r="U226" s="1">
        <v>2.7033909798850599</v>
      </c>
      <c r="V226" s="1">
        <v>0.29205921168582399</v>
      </c>
      <c r="W226" s="7">
        <v>0</v>
      </c>
      <c r="X226" s="6">
        <f>IF(W226&lt;=-0.65,-1,IF(W226&gt;=0.65,ROUND(W226,0),0))</f>
        <v>0</v>
      </c>
    </row>
    <row r="227" spans="1:24" x14ac:dyDescent="0.2">
      <c r="A227">
        <v>465</v>
      </c>
      <c r="B227" s="4">
        <v>628511.61</v>
      </c>
      <c r="C227" s="9">
        <f>B227/12</f>
        <v>52375.967499999999</v>
      </c>
      <c r="D227" s="4">
        <v>56888.09</v>
      </c>
      <c r="E227" s="4">
        <v>4740.6741666666667</v>
      </c>
      <c r="F227" s="5">
        <v>41228</v>
      </c>
      <c r="G227" t="s">
        <v>208</v>
      </c>
      <c r="H227" t="s">
        <v>98</v>
      </c>
      <c r="I227" t="s">
        <v>240</v>
      </c>
      <c r="J227" t="s">
        <v>357</v>
      </c>
      <c r="K227" s="10">
        <f>F227/(Q227*174*12)</f>
        <v>6.9509799789251758</v>
      </c>
      <c r="L227" s="3">
        <v>15.244775637916</v>
      </c>
      <c r="M227" s="2">
        <v>0.56199574419953802</v>
      </c>
      <c r="N227" s="1">
        <v>0.85392720306513403</v>
      </c>
      <c r="O227" s="1">
        <v>0.99425287356321801</v>
      </c>
      <c r="P227" s="1">
        <v>0.99245689655172398</v>
      </c>
      <c r="Q227" s="19">
        <v>2.84063697318008</v>
      </c>
      <c r="R227" s="1">
        <v>0.43235153256705</v>
      </c>
      <c r="S227" s="16">
        <f>Q227+R227</f>
        <v>3.2729885057471302</v>
      </c>
      <c r="T227" s="1">
        <v>0.26891762452107298</v>
      </c>
      <c r="U227" s="1">
        <v>2.77459306245211</v>
      </c>
      <c r="V227" s="1">
        <v>6.6043910727970001E-2</v>
      </c>
      <c r="W227" s="7">
        <v>8.5129317689991296E-2</v>
      </c>
      <c r="X227" s="6">
        <f>IF(W227&lt;=-0.65,-1,IF(W227&gt;=0.65,ROUND(W227,0),0))</f>
        <v>0</v>
      </c>
    </row>
    <row r="228" spans="1:24" x14ac:dyDescent="0.2">
      <c r="A228">
        <v>466</v>
      </c>
      <c r="B228" s="4">
        <v>1040782.32</v>
      </c>
      <c r="C228" s="9">
        <f>B228/12</f>
        <v>86731.86</v>
      </c>
      <c r="D228" s="4">
        <v>65864.5</v>
      </c>
      <c r="E228" s="4">
        <v>5488.708333333333</v>
      </c>
      <c r="F228" s="5">
        <v>39617</v>
      </c>
      <c r="G228" t="s">
        <v>136</v>
      </c>
      <c r="H228" t="s">
        <v>40</v>
      </c>
      <c r="I228" t="s">
        <v>188</v>
      </c>
      <c r="J228" t="s">
        <v>324</v>
      </c>
      <c r="K228" s="10">
        <f>F228/(Q228*174*12)</f>
        <v>5.8975809452921446</v>
      </c>
      <c r="L228" s="3">
        <v>26.271103819067601</v>
      </c>
      <c r="M228" s="2">
        <v>0.74716873553347796</v>
      </c>
      <c r="N228" s="1">
        <v>0.76460727969348696</v>
      </c>
      <c r="O228" s="1">
        <v>1.6511015325670499</v>
      </c>
      <c r="P228" s="1">
        <v>0.80148467432950199</v>
      </c>
      <c r="Q228" s="19">
        <v>3.2171934865900398</v>
      </c>
      <c r="R228" s="1">
        <v>0.43510536398467398</v>
      </c>
      <c r="S228" s="16">
        <f>Q228+R228</f>
        <v>3.6522988505747138</v>
      </c>
      <c r="T228" s="1">
        <v>1.5565134099616899E-2</v>
      </c>
      <c r="U228" s="1">
        <v>2.9155057240900399</v>
      </c>
      <c r="V228" s="1">
        <v>0.30168776250000001</v>
      </c>
      <c r="W228" s="7">
        <v>0.190658866851172</v>
      </c>
      <c r="X228" s="6">
        <f>IF(W228&lt;=-0.65,-1,IF(W228&gt;=0.65,ROUND(W228,0),0))</f>
        <v>0</v>
      </c>
    </row>
    <row r="229" spans="1:24" x14ac:dyDescent="0.2">
      <c r="A229">
        <v>467</v>
      </c>
      <c r="B229" s="4">
        <v>1334212.54</v>
      </c>
      <c r="C229" s="9">
        <f>B229/12</f>
        <v>111184.37833333334</v>
      </c>
      <c r="D229" s="4">
        <v>79977.27</v>
      </c>
      <c r="E229" s="4">
        <v>6664.7725</v>
      </c>
      <c r="F229" s="5">
        <v>53316</v>
      </c>
      <c r="G229" t="s">
        <v>208</v>
      </c>
      <c r="H229" t="s">
        <v>98</v>
      </c>
      <c r="I229" t="s">
        <v>238</v>
      </c>
      <c r="J229" t="s">
        <v>374</v>
      </c>
      <c r="K229" s="10">
        <f>F229/(Q229*174*12)</f>
        <v>6.968045481278188</v>
      </c>
      <c r="L229" s="3">
        <v>25.0246181258909</v>
      </c>
      <c r="M229" s="2">
        <v>0.73557038371112904</v>
      </c>
      <c r="N229" s="1">
        <v>0.81465517241379304</v>
      </c>
      <c r="O229" s="1">
        <v>1.13505747126437</v>
      </c>
      <c r="P229" s="1">
        <v>1.71479885057471</v>
      </c>
      <c r="Q229" s="19">
        <v>3.6645114942528698</v>
      </c>
      <c r="R229" s="1">
        <v>0.44276819923371702</v>
      </c>
      <c r="S229" s="16">
        <f>Q229+R229</f>
        <v>4.1072796934865865</v>
      </c>
      <c r="T229" s="1">
        <v>0.107040229885057</v>
      </c>
      <c r="U229" s="1">
        <v>3.58810041034483</v>
      </c>
      <c r="V229" s="1">
        <v>7.6411083908045602E-2</v>
      </c>
      <c r="W229" s="7">
        <v>0</v>
      </c>
      <c r="X229" s="6">
        <f>IF(W229&lt;=-0.65,-1,IF(W229&gt;=0.65,ROUND(W229,0),0))</f>
        <v>0</v>
      </c>
    </row>
    <row r="230" spans="1:24" x14ac:dyDescent="0.2">
      <c r="A230">
        <v>469</v>
      </c>
      <c r="B230" s="4">
        <v>1019497.21</v>
      </c>
      <c r="C230" s="9">
        <f>B230/12</f>
        <v>84958.10083333333</v>
      </c>
      <c r="D230" s="4">
        <v>76983.94</v>
      </c>
      <c r="E230" s="4">
        <v>6415.3283333333338</v>
      </c>
      <c r="F230" s="5">
        <v>62363</v>
      </c>
      <c r="G230" t="s">
        <v>18</v>
      </c>
      <c r="H230" t="s">
        <v>40</v>
      </c>
      <c r="I230" t="s">
        <v>127</v>
      </c>
      <c r="J230" t="s">
        <v>311</v>
      </c>
      <c r="K230" s="10">
        <f>F230/(Q230*174*12)</f>
        <v>8.1943367715656077</v>
      </c>
      <c r="L230" s="3">
        <v>16.347789715055399</v>
      </c>
      <c r="M230" s="2">
        <v>0.57822368145568503</v>
      </c>
      <c r="N230" s="1">
        <v>0.81800766283524895</v>
      </c>
      <c r="O230" s="1">
        <v>1.1709770114942499</v>
      </c>
      <c r="P230" s="1">
        <v>1.6558908045977001</v>
      </c>
      <c r="Q230" s="19">
        <v>3.6448754789272</v>
      </c>
      <c r="R230" s="1">
        <v>0.65589080459770099</v>
      </c>
      <c r="S230" s="16">
        <f>Q230+R230</f>
        <v>4.3007662835249008</v>
      </c>
      <c r="T230" s="1">
        <v>7.8065134099616906E-2</v>
      </c>
      <c r="U230" s="1">
        <v>3.4172830408563351</v>
      </c>
      <c r="V230" s="1">
        <v>0.22759243807086499</v>
      </c>
      <c r="W230" s="7">
        <v>0</v>
      </c>
      <c r="X230" s="6">
        <f>IF(W230&lt;=-0.65,-1,IF(W230&gt;=0.65,ROUND(W230,0),0))</f>
        <v>0</v>
      </c>
    </row>
    <row r="231" spans="1:24" x14ac:dyDescent="0.2">
      <c r="A231">
        <v>470</v>
      </c>
      <c r="B231" s="4">
        <v>1356259.81</v>
      </c>
      <c r="C231" s="9">
        <f>B231/12</f>
        <v>113021.65083333333</v>
      </c>
      <c r="D231" s="4">
        <v>81288.89</v>
      </c>
      <c r="E231" s="4">
        <v>6774.0741666666663</v>
      </c>
      <c r="F231" s="5">
        <v>54715</v>
      </c>
      <c r="G231" t="s">
        <v>136</v>
      </c>
      <c r="H231" t="s">
        <v>19</v>
      </c>
      <c r="I231" t="s">
        <v>189</v>
      </c>
      <c r="J231" t="s">
        <v>365</v>
      </c>
      <c r="K231" s="10">
        <f>F231/(Q231*174*12)</f>
        <v>7.6803761931499057</v>
      </c>
      <c r="L231" s="3">
        <v>24.787714703463401</v>
      </c>
      <c r="M231" s="2">
        <v>0.77542503452933598</v>
      </c>
      <c r="N231" s="1">
        <v>0.69013409961685801</v>
      </c>
      <c r="O231" s="1">
        <v>1.7296455938697299</v>
      </c>
      <c r="P231" s="1">
        <v>0.99209770114942497</v>
      </c>
      <c r="Q231" s="19">
        <v>3.4118773946360199</v>
      </c>
      <c r="R231" s="1">
        <v>1.3955938697318</v>
      </c>
      <c r="S231" s="16">
        <f>Q231+R231</f>
        <v>4.8074712643678197</v>
      </c>
      <c r="T231" s="1">
        <v>3.4482758620689703E-2</v>
      </c>
      <c r="U231" s="1">
        <v>4.0266021075191603</v>
      </c>
      <c r="V231" s="1">
        <v>-0.61472471288314301</v>
      </c>
      <c r="W231" s="7">
        <v>-0.43767044481690598</v>
      </c>
      <c r="X231" s="6">
        <f>IF(W231&lt;=-0.65,-1,IF(W231&gt;=0.65,ROUND(W231,0),0))</f>
        <v>0</v>
      </c>
    </row>
    <row r="232" spans="1:24" x14ac:dyDescent="0.2">
      <c r="A232">
        <v>471</v>
      </c>
      <c r="B232" s="4">
        <v>728647.58</v>
      </c>
      <c r="C232" s="9">
        <f>B232/12</f>
        <v>60720.631666666661</v>
      </c>
      <c r="D232" s="4">
        <v>47727.27</v>
      </c>
      <c r="E232" s="4">
        <v>3977.2724999999996</v>
      </c>
      <c r="F232" s="5">
        <v>32778</v>
      </c>
      <c r="G232" t="s">
        <v>208</v>
      </c>
      <c r="H232" t="s">
        <v>25</v>
      </c>
      <c r="I232" t="s">
        <v>239</v>
      </c>
      <c r="J232" t="s">
        <v>239</v>
      </c>
      <c r="K232" s="10">
        <f>F232/(Q232*174*12)</f>
        <v>6.8781869688385164</v>
      </c>
      <c r="L232" s="3">
        <v>22.229775459149401</v>
      </c>
      <c r="M232" s="2">
        <v>0.78669483812736996</v>
      </c>
      <c r="N232" s="1">
        <v>0.63002873563218398</v>
      </c>
      <c r="O232" s="1">
        <v>0.88625478927203105</v>
      </c>
      <c r="P232" s="1">
        <v>0.76604406130268199</v>
      </c>
      <c r="Q232" s="19">
        <v>2.2823275862068999</v>
      </c>
      <c r="R232" s="1">
        <v>0.74066091954022995</v>
      </c>
      <c r="S232" s="16">
        <f>Q232+R232</f>
        <v>3.0229885057471297</v>
      </c>
      <c r="T232" s="1">
        <v>0.18438697318007699</v>
      </c>
      <c r="U232" s="1">
        <v>2.20591858448276</v>
      </c>
      <c r="V232" s="1">
        <v>7.6409001724137698E-2</v>
      </c>
      <c r="W232" s="7">
        <v>0</v>
      </c>
      <c r="X232" s="6">
        <f>IF(W232&lt;=-0.65,-1,IF(W232&gt;=0.65,ROUND(W232,0),0))</f>
        <v>0</v>
      </c>
    </row>
    <row r="233" spans="1:24" x14ac:dyDescent="0.2">
      <c r="A233">
        <v>474</v>
      </c>
      <c r="B233" s="4">
        <v>1317744.42</v>
      </c>
      <c r="C233" s="9">
        <f>B233/12</f>
        <v>109812.03499999999</v>
      </c>
      <c r="D233" s="4">
        <v>78815.37</v>
      </c>
      <c r="E233" s="4">
        <v>6567.9474999999993</v>
      </c>
      <c r="F233" s="5">
        <v>51064</v>
      </c>
      <c r="G233" t="s">
        <v>208</v>
      </c>
      <c r="H233" t="s">
        <v>43</v>
      </c>
      <c r="I233" t="s">
        <v>225</v>
      </c>
      <c r="J233" t="s">
        <v>217</v>
      </c>
      <c r="K233" s="10">
        <f>F233/(Q233*174*12)</f>
        <v>6.1850775193798411</v>
      </c>
      <c r="L233" s="3">
        <v>25.8057422058593</v>
      </c>
      <c r="M233" s="2">
        <v>0.74976504169146896</v>
      </c>
      <c r="N233" s="1">
        <v>0.77777777777777801</v>
      </c>
      <c r="O233" s="1">
        <v>1.6712164750957901</v>
      </c>
      <c r="P233" s="1">
        <v>1.5050287356321801</v>
      </c>
      <c r="Q233" s="19">
        <v>3.9540229885057498</v>
      </c>
      <c r="R233" s="1">
        <v>0.83285440613026795</v>
      </c>
      <c r="S233" s="16">
        <f>Q233+R233</f>
        <v>4.7868773946360177</v>
      </c>
      <c r="T233" s="1">
        <v>1.5325670498084301E-2</v>
      </c>
      <c r="U233" s="1">
        <v>3.4365436145593899</v>
      </c>
      <c r="V233" s="1">
        <v>0.51747937394636001</v>
      </c>
      <c r="W233" s="7">
        <v>0.25320719194459501</v>
      </c>
      <c r="X233" s="6">
        <f>IF(W233&lt;=-0.65,-1,IF(W233&gt;=0.65,ROUND(W233,0),0))</f>
        <v>0</v>
      </c>
    </row>
    <row r="234" spans="1:24" x14ac:dyDescent="0.2">
      <c r="A234">
        <v>501</v>
      </c>
      <c r="B234" s="4">
        <v>1900673.47</v>
      </c>
      <c r="C234" s="9">
        <f>B234/12</f>
        <v>158389.45583333334</v>
      </c>
      <c r="D234" s="4">
        <v>83152.990000000005</v>
      </c>
      <c r="E234" s="4">
        <v>6929.4158333333335</v>
      </c>
      <c r="F234" s="5">
        <v>52026</v>
      </c>
      <c r="G234" t="s">
        <v>136</v>
      </c>
      <c r="H234" t="s">
        <v>61</v>
      </c>
      <c r="I234" t="s">
        <v>190</v>
      </c>
      <c r="J234" t="s">
        <v>366</v>
      </c>
      <c r="K234" s="10">
        <f>F234/(Q234*174*12)</f>
        <v>6.6169793322734449</v>
      </c>
      <c r="L234" s="3">
        <v>36.533146311459703</v>
      </c>
      <c r="M234" s="2">
        <v>0.82777620397889795</v>
      </c>
      <c r="N234" s="1">
        <v>0.73994252873563204</v>
      </c>
      <c r="O234" s="1">
        <v>1.39343869731801</v>
      </c>
      <c r="P234" s="1">
        <v>1.6321839080459799</v>
      </c>
      <c r="Q234" s="19">
        <v>3.7655651340996199</v>
      </c>
      <c r="R234" s="1">
        <v>0.69803639846743304</v>
      </c>
      <c r="S234" s="16">
        <f>Q234+R234</f>
        <v>4.4636015325670533</v>
      </c>
      <c r="T234" s="1">
        <v>8.1417624521072807E-3</v>
      </c>
      <c r="U234" s="1">
        <v>3.8287124416666698</v>
      </c>
      <c r="V234" s="1">
        <v>-6.3147307567049907E-2</v>
      </c>
      <c r="W234" s="7">
        <v>0</v>
      </c>
      <c r="X234" s="6">
        <f>IF(W234&lt;=-0.65,-1,IF(W234&gt;=0.65,ROUND(W234,0),0))</f>
        <v>0</v>
      </c>
    </row>
    <row r="235" spans="1:24" x14ac:dyDescent="0.2">
      <c r="A235">
        <v>502</v>
      </c>
      <c r="B235" s="4">
        <v>1182587.02</v>
      </c>
      <c r="C235" s="9">
        <f>B235/12</f>
        <v>98548.918333333335</v>
      </c>
      <c r="D235" s="4">
        <v>72999.88</v>
      </c>
      <c r="E235" s="4">
        <v>6083.3233333333337</v>
      </c>
      <c r="F235" s="5">
        <v>33042</v>
      </c>
      <c r="G235" t="s">
        <v>136</v>
      </c>
      <c r="H235" t="s">
        <v>40</v>
      </c>
      <c r="I235" t="s">
        <v>191</v>
      </c>
      <c r="J235" t="s">
        <v>349</v>
      </c>
      <c r="K235" s="10">
        <f>F235/(Q235*174*12)</f>
        <v>5.5691892802966469</v>
      </c>
      <c r="L235" s="3">
        <v>35.790418860843801</v>
      </c>
      <c r="M235" s="2">
        <v>0.83002217460496097</v>
      </c>
      <c r="N235" s="1">
        <v>0.81261973180076597</v>
      </c>
      <c r="O235" s="1">
        <v>2.0231082375478899</v>
      </c>
      <c r="P235" s="1">
        <v>5.74712643678161E-3</v>
      </c>
      <c r="Q235" s="19">
        <v>2.84147509578544</v>
      </c>
      <c r="R235" s="1">
        <v>0.52921455938697304</v>
      </c>
      <c r="S235" s="16">
        <f>Q235+R235</f>
        <v>3.3706896551724128</v>
      </c>
      <c r="T235" s="1">
        <v>7.5670498084291202E-2</v>
      </c>
      <c r="U235" s="1">
        <v>2.4316364221264402</v>
      </c>
      <c r="V235" s="1">
        <v>0.40983867365900301</v>
      </c>
      <c r="W235" s="7">
        <v>0.185496580814729</v>
      </c>
      <c r="X235" s="6">
        <f>IF(W235&lt;=-0.65,-1,IF(W235&gt;=0.65,ROUND(W235,0),0))</f>
        <v>0</v>
      </c>
    </row>
    <row r="236" spans="1:24" x14ac:dyDescent="0.2">
      <c r="A236">
        <v>504</v>
      </c>
      <c r="B236" s="4">
        <v>1186668.3799999999</v>
      </c>
      <c r="C236" s="9">
        <f>B236/12</f>
        <v>98889.031666666662</v>
      </c>
      <c r="D236" s="4">
        <v>72305.11</v>
      </c>
      <c r="E236" s="4">
        <v>6025.4258333333337</v>
      </c>
      <c r="F236" s="5">
        <v>49274</v>
      </c>
      <c r="G236" t="s">
        <v>136</v>
      </c>
      <c r="H236" t="s">
        <v>40</v>
      </c>
      <c r="I236" t="s">
        <v>192</v>
      </c>
      <c r="J236" t="s">
        <v>311</v>
      </c>
      <c r="K236" s="10">
        <f>F236/(Q236*174*12)</f>
        <v>7.3507626897400513</v>
      </c>
      <c r="L236" s="3">
        <v>24.083053537362499</v>
      </c>
      <c r="M236" s="2">
        <v>0.73496600625694597</v>
      </c>
      <c r="N236" s="1">
        <v>0.77801724137931005</v>
      </c>
      <c r="O236" s="1">
        <v>1.7268917624521101</v>
      </c>
      <c r="P236" s="1">
        <v>0.70545977011494299</v>
      </c>
      <c r="Q236" s="19">
        <v>3.2103687739463602</v>
      </c>
      <c r="R236" s="1">
        <v>1.1548132183908</v>
      </c>
      <c r="S236" s="16">
        <f>Q236+R236</f>
        <v>4.3651819923371598</v>
      </c>
      <c r="T236" s="1">
        <v>7.9980842911877403E-2</v>
      </c>
      <c r="U236" s="1">
        <v>3.6261864615900401</v>
      </c>
      <c r="V236" s="1">
        <v>-0.41581768764367899</v>
      </c>
      <c r="W236" s="7">
        <v>-0.22941205284725599</v>
      </c>
      <c r="X236" s="6">
        <f>IF(W236&lt;=-0.65,-1,IF(W236&gt;=0.65,ROUND(W236,0),0))</f>
        <v>0</v>
      </c>
    </row>
    <row r="237" spans="1:24" x14ac:dyDescent="0.2">
      <c r="A237">
        <v>505</v>
      </c>
      <c r="B237" s="4">
        <v>1285406.8500000001</v>
      </c>
      <c r="C237" s="9">
        <f>B237/12</f>
        <v>107117.2375</v>
      </c>
      <c r="D237" s="4">
        <v>75973.039999999994</v>
      </c>
      <c r="E237" s="4">
        <v>6331.0866666666661</v>
      </c>
      <c r="F237" s="5">
        <v>48717</v>
      </c>
      <c r="G237" t="s">
        <v>136</v>
      </c>
      <c r="H237" t="s">
        <v>61</v>
      </c>
      <c r="I237" t="s">
        <v>193</v>
      </c>
      <c r="J237" t="s">
        <v>367</v>
      </c>
      <c r="K237" s="10">
        <f>F237/(Q237*174*12)</f>
        <v>7.2676686681833438</v>
      </c>
      <c r="L237" s="3">
        <v>26.385180737730199</v>
      </c>
      <c r="M237" s="2">
        <v>0.78563237779540396</v>
      </c>
      <c r="N237" s="1">
        <v>0.83405172413793105</v>
      </c>
      <c r="O237" s="1">
        <v>1.5477729885057501</v>
      </c>
      <c r="P237" s="1">
        <v>0.82854406130268199</v>
      </c>
      <c r="Q237" s="19">
        <v>3.2103687739463602</v>
      </c>
      <c r="R237" s="1">
        <v>0.51712164750957901</v>
      </c>
      <c r="S237" s="16">
        <f>Q237+R237</f>
        <v>3.727490421455939</v>
      </c>
      <c r="T237" s="1">
        <v>4.5019157088122597E-2</v>
      </c>
      <c r="U237" s="1">
        <v>3.58519555646552</v>
      </c>
      <c r="V237" s="1">
        <v>-0.37482678251915702</v>
      </c>
      <c r="W237" s="7">
        <v>-0.21767190683139601</v>
      </c>
      <c r="X237" s="6">
        <f>IF(W237&lt;=-0.65,-1,IF(W237&gt;=0.65,ROUND(W237,0),0))</f>
        <v>0</v>
      </c>
    </row>
    <row r="238" spans="1:24" x14ac:dyDescent="0.2">
      <c r="A238">
        <v>506</v>
      </c>
      <c r="B238" s="4">
        <v>823170.43</v>
      </c>
      <c r="C238" s="9">
        <f>B238/12</f>
        <v>68597.535833333342</v>
      </c>
      <c r="D238" s="4">
        <v>44771.18</v>
      </c>
      <c r="E238" s="4">
        <v>3730.9316666666668</v>
      </c>
      <c r="F238" s="5">
        <v>28111</v>
      </c>
      <c r="G238" t="s">
        <v>208</v>
      </c>
      <c r="H238" t="s">
        <v>61</v>
      </c>
      <c r="I238" t="s">
        <v>242</v>
      </c>
      <c r="J238" t="s">
        <v>375</v>
      </c>
      <c r="K238" s="10">
        <f>F238/(Q238*174*12)</f>
        <v>7.2479051179579832</v>
      </c>
      <c r="L238" s="3">
        <v>29.282858311692902</v>
      </c>
      <c r="M238" s="2">
        <v>0.78271791176949801</v>
      </c>
      <c r="N238" s="1">
        <v>0.90828544061302696</v>
      </c>
      <c r="O238" s="1">
        <v>3.7356321839080497E-2</v>
      </c>
      <c r="P238" s="1">
        <v>0.91187739463601503</v>
      </c>
      <c r="Q238" s="19">
        <v>1.85751915708812</v>
      </c>
      <c r="R238" s="1">
        <v>0.23323754789272</v>
      </c>
      <c r="S238" s="16">
        <f>Q238+R238</f>
        <v>2.0907567049808398</v>
      </c>
      <c r="T238" s="1">
        <v>0.158045977011494</v>
      </c>
      <c r="U238" s="1">
        <v>1.8918352958812299</v>
      </c>
      <c r="V238" s="1">
        <v>-3.4316138793103197E-2</v>
      </c>
      <c r="W238" s="7">
        <v>-2.9850936462538301E-2</v>
      </c>
      <c r="X238" s="6">
        <f>IF(W238&lt;=-0.65,-1,IF(W238&gt;=0.65,ROUND(W238,0),0))</f>
        <v>0</v>
      </c>
    </row>
    <row r="239" spans="1:24" x14ac:dyDescent="0.2">
      <c r="A239">
        <v>511</v>
      </c>
      <c r="B239" s="4">
        <v>613741.91</v>
      </c>
      <c r="C239" s="9">
        <f>B239/12</f>
        <v>51145.159166666672</v>
      </c>
      <c r="D239" s="4">
        <v>40856.720000000001</v>
      </c>
      <c r="E239" s="4">
        <v>3404.7266666666669</v>
      </c>
      <c r="F239" s="5">
        <v>30539</v>
      </c>
      <c r="G239" t="s">
        <v>270</v>
      </c>
      <c r="H239" t="s">
        <v>61</v>
      </c>
      <c r="I239" t="s">
        <v>290</v>
      </c>
      <c r="J239" t="s">
        <v>367</v>
      </c>
      <c r="K239" s="10">
        <f>F239/(Q239*174*12)</f>
        <v>7.37746104602006</v>
      </c>
      <c r="L239" s="3">
        <v>20.096987786109601</v>
      </c>
      <c r="M239" s="2">
        <v>0.62477240636866405</v>
      </c>
      <c r="N239" s="1">
        <v>0.53017241379310398</v>
      </c>
      <c r="O239" s="1">
        <v>0.58644636015325702</v>
      </c>
      <c r="P239" s="1">
        <v>0.86590038314176199</v>
      </c>
      <c r="Q239" s="19">
        <v>1.98251915708812</v>
      </c>
      <c r="R239" s="1">
        <v>0.33955938697318</v>
      </c>
      <c r="S239" s="16">
        <f>Q239+R239</f>
        <v>2.3220785440612999</v>
      </c>
      <c r="T239" s="1">
        <v>0.15565134099616901</v>
      </c>
      <c r="U239" s="1">
        <v>2.1689388688697302</v>
      </c>
      <c r="V239" s="1">
        <v>-0.18641971178160899</v>
      </c>
      <c r="W239" s="7">
        <v>-3.4657401832275898E-2</v>
      </c>
      <c r="X239" s="6">
        <f>IF(W239&lt;=-0.65,-1,IF(W239&gt;=0.65,ROUND(W239,0),0))</f>
        <v>0</v>
      </c>
    </row>
    <row r="240" spans="1:24" x14ac:dyDescent="0.2">
      <c r="A240">
        <v>515</v>
      </c>
      <c r="B240" s="4">
        <v>1863858.16</v>
      </c>
      <c r="C240" s="9">
        <f>B240/12</f>
        <v>155321.51333333334</v>
      </c>
      <c r="D240" s="4">
        <v>92768.5</v>
      </c>
      <c r="E240" s="4">
        <v>7730.708333333333</v>
      </c>
      <c r="F240" s="5">
        <v>66693</v>
      </c>
      <c r="G240" t="s">
        <v>136</v>
      </c>
      <c r="H240" t="s">
        <v>33</v>
      </c>
      <c r="I240" t="s">
        <v>194</v>
      </c>
      <c r="J240" t="s">
        <v>235</v>
      </c>
      <c r="K240" s="10">
        <f>F240/(Q240*174*12)</f>
        <v>7.1055827828681002</v>
      </c>
      <c r="L240" s="3">
        <v>27.9468334008067</v>
      </c>
      <c r="M240" s="2">
        <v>0.79189552170643696</v>
      </c>
      <c r="N240" s="1">
        <v>0.79789272030651304</v>
      </c>
      <c r="O240" s="1">
        <v>2.0737547892720301</v>
      </c>
      <c r="P240" s="1">
        <v>1.6235632183908</v>
      </c>
      <c r="Q240" s="19">
        <v>4.4952107279693498</v>
      </c>
      <c r="R240" s="1">
        <v>1.1506226053639801</v>
      </c>
      <c r="S240" s="16">
        <f>Q240+R240</f>
        <v>5.6458333333333304</v>
      </c>
      <c r="T240" s="1">
        <v>1.5325670498084301E-2</v>
      </c>
      <c r="U240" s="1">
        <v>4.9080905484195396</v>
      </c>
      <c r="V240" s="1">
        <v>-0.412879820450192</v>
      </c>
      <c r="W240" s="7">
        <v>-0.27332408199292102</v>
      </c>
      <c r="X240" s="6">
        <f>IF(W240&lt;=-0.65,-1,IF(W240&gt;=0.65,ROUND(W240,0),0))</f>
        <v>0</v>
      </c>
    </row>
    <row r="241" spans="1:24" x14ac:dyDescent="0.2">
      <c r="A241">
        <v>516</v>
      </c>
      <c r="B241" s="4">
        <v>1590894.27</v>
      </c>
      <c r="C241" s="9">
        <f>B241/12</f>
        <v>132574.52249999999</v>
      </c>
      <c r="D241" s="4">
        <v>85859.57</v>
      </c>
      <c r="E241" s="4">
        <v>7154.9641666666676</v>
      </c>
      <c r="F241" s="5">
        <v>66177</v>
      </c>
      <c r="G241" t="s">
        <v>136</v>
      </c>
      <c r="H241" t="s">
        <v>27</v>
      </c>
      <c r="I241" t="s">
        <v>195</v>
      </c>
      <c r="J241" t="s">
        <v>368</v>
      </c>
      <c r="K241" s="10">
        <f>F241/(Q241*174*12)</f>
        <v>7.5209682918513385</v>
      </c>
      <c r="L241" s="3">
        <v>24.039987760097901</v>
      </c>
      <c r="M241" s="2">
        <v>0.67683685855503195</v>
      </c>
      <c r="N241" s="1">
        <v>0.79454022988505701</v>
      </c>
      <c r="O241" s="1">
        <v>1.7174329501915699</v>
      </c>
      <c r="P241" s="1">
        <v>1.70210727969349</v>
      </c>
      <c r="Q241" s="19">
        <v>4.2140804597701198</v>
      </c>
      <c r="R241" s="1">
        <v>0.58213601532567005</v>
      </c>
      <c r="S241" s="16">
        <f>Q241+R241</f>
        <v>4.7962164750957896</v>
      </c>
      <c r="T241" s="1">
        <v>2.68199233716475E-2</v>
      </c>
      <c r="U241" s="1">
        <v>4.8701169271551699</v>
      </c>
      <c r="V241" s="1">
        <v>-0.65603646738505805</v>
      </c>
      <c r="W241" s="7">
        <v>-0.46904847654847898</v>
      </c>
      <c r="X241" s="6">
        <f>IF(W241&lt;=-0.65,-1,IF(W241&gt;=0.65,ROUND(W241,0),0))</f>
        <v>0</v>
      </c>
    </row>
    <row r="242" spans="1:24" x14ac:dyDescent="0.2">
      <c r="A242">
        <v>518</v>
      </c>
      <c r="B242" s="4">
        <v>1941835.15</v>
      </c>
      <c r="C242" s="9">
        <f>B242/12</f>
        <v>161819.59583333333</v>
      </c>
      <c r="D242" s="4">
        <v>93923.86</v>
      </c>
      <c r="E242" s="4">
        <v>7826.9883333333337</v>
      </c>
      <c r="F242" s="5">
        <v>63827</v>
      </c>
      <c r="G242" t="s">
        <v>136</v>
      </c>
      <c r="H242" t="s">
        <v>49</v>
      </c>
      <c r="I242" t="s">
        <v>196</v>
      </c>
      <c r="J242" t="s">
        <v>369</v>
      </c>
      <c r="K242" s="10">
        <f>F242/(Q242*174*12)</f>
        <v>6.7915513939135987</v>
      </c>
      <c r="L242" s="3">
        <v>30.423412505679401</v>
      </c>
      <c r="M242" s="2">
        <v>0.83816832237278205</v>
      </c>
      <c r="N242" s="1">
        <v>0.80268199233716497</v>
      </c>
      <c r="O242" s="1">
        <v>2.1465517241379302</v>
      </c>
      <c r="P242" s="1">
        <v>1.55172413793103</v>
      </c>
      <c r="Q242" s="19">
        <v>4.5009578544061304</v>
      </c>
      <c r="R242" s="1">
        <v>1.17313218390805</v>
      </c>
      <c r="S242" s="16">
        <f>Q242+R242</f>
        <v>5.6740900383141799</v>
      </c>
      <c r="T242" s="1">
        <v>6.2260536398467403E-3</v>
      </c>
      <c r="U242" s="1">
        <v>4.6971750473659002</v>
      </c>
      <c r="V242" s="1">
        <v>-0.19621719295977</v>
      </c>
      <c r="W242" s="7">
        <v>-8.0659894252488998E-2</v>
      </c>
      <c r="X242" s="6">
        <f>IF(W242&lt;=-0.65,-1,IF(W242&gt;=0.65,ROUND(W242,0),0))</f>
        <v>0</v>
      </c>
    </row>
    <row r="243" spans="1:24" x14ac:dyDescent="0.2">
      <c r="A243">
        <v>523</v>
      </c>
      <c r="B243" s="4">
        <v>489628.37</v>
      </c>
      <c r="C243" s="9">
        <f>B243/12</f>
        <v>40802.364166666666</v>
      </c>
      <c r="D243" s="4">
        <v>52835.46</v>
      </c>
      <c r="E243" s="4">
        <v>4402.9549999999999</v>
      </c>
      <c r="F243" s="5">
        <v>20191</v>
      </c>
      <c r="G243" t="s">
        <v>136</v>
      </c>
      <c r="H243" t="s">
        <v>23</v>
      </c>
      <c r="I243" t="s">
        <v>197</v>
      </c>
      <c r="J243" t="s">
        <v>316</v>
      </c>
      <c r="K243" s="10">
        <f>F243/(Q243*174*12)</f>
        <v>4.8142584644730633</v>
      </c>
      <c r="L243" s="3">
        <v>24.249832598682602</v>
      </c>
      <c r="M243" s="2">
        <v>0.80917762179507702</v>
      </c>
      <c r="N243" s="1">
        <v>0.65469348659003801</v>
      </c>
      <c r="O243" s="1">
        <v>0.57351532567049801</v>
      </c>
      <c r="P243" s="1">
        <v>0.78041187739463602</v>
      </c>
      <c r="Q243" s="19">
        <v>2.0086206896551699</v>
      </c>
      <c r="R243" s="1">
        <v>1.0095785440613001</v>
      </c>
      <c r="S243" s="16">
        <f>Q243+R243</f>
        <v>3.0181992337164703</v>
      </c>
      <c r="T243" s="1">
        <v>0.16403256704980801</v>
      </c>
      <c r="U243" s="1">
        <v>1.48590191269157</v>
      </c>
      <c r="V243" s="1">
        <v>0.52271877696360203</v>
      </c>
      <c r="W243" s="7">
        <v>0.42702746037068301</v>
      </c>
      <c r="X243" s="6">
        <f>IF(W243&lt;=-0.65,-1,IF(W243&gt;=0.65,ROUND(W243,0),0))</f>
        <v>0</v>
      </c>
    </row>
    <row r="244" spans="1:24" x14ac:dyDescent="0.2">
      <c r="A244">
        <v>524</v>
      </c>
      <c r="B244" s="4">
        <v>601172.15</v>
      </c>
      <c r="C244" s="9">
        <f>B244/12</f>
        <v>50097.679166666669</v>
      </c>
      <c r="D244" s="4">
        <v>51594.42</v>
      </c>
      <c r="E244" s="4">
        <v>4299.5349999999999</v>
      </c>
      <c r="F244" s="5">
        <v>28853</v>
      </c>
      <c r="G244" t="s">
        <v>208</v>
      </c>
      <c r="H244" t="s">
        <v>61</v>
      </c>
      <c r="I244" t="s">
        <v>229</v>
      </c>
      <c r="J244" t="s">
        <v>366</v>
      </c>
      <c r="K244" s="10">
        <f>F244/(Q244*174*12)</f>
        <v>5.8377339403135959</v>
      </c>
      <c r="L244" s="3">
        <v>20.835689529684998</v>
      </c>
      <c r="M244" s="2">
        <v>0.67401390766355396</v>
      </c>
      <c r="N244" s="1">
        <v>0.85201149425287404</v>
      </c>
      <c r="O244" s="1">
        <v>9.0996168582375497E-2</v>
      </c>
      <c r="P244" s="1">
        <v>1.4240900383141799</v>
      </c>
      <c r="Q244" s="19">
        <v>2.3670977011494299</v>
      </c>
      <c r="R244" s="1">
        <v>0.41762452107279702</v>
      </c>
      <c r="S244" s="16">
        <f>Q244+R244</f>
        <v>2.7847222222222268</v>
      </c>
      <c r="T244" s="1">
        <v>0.12164750957854401</v>
      </c>
      <c r="U244" s="1">
        <v>1.9417709719348699</v>
      </c>
      <c r="V244" s="1">
        <v>0.42532672921456</v>
      </c>
      <c r="W244" s="7">
        <v>0.33863657486832499</v>
      </c>
      <c r="X244" s="6">
        <f>IF(W244&lt;=-0.65,-1,IF(W244&gt;=0.65,ROUND(W244,0),0))</f>
        <v>0</v>
      </c>
    </row>
    <row r="245" spans="1:24" x14ac:dyDescent="0.2">
      <c r="A245">
        <v>551</v>
      </c>
      <c r="B245" s="4">
        <v>685420.85</v>
      </c>
      <c r="C245" s="9">
        <f>B245/12</f>
        <v>57118.404166666667</v>
      </c>
      <c r="D245" s="4">
        <v>63226.29</v>
      </c>
      <c r="E245" s="4">
        <v>5268.8575000000001</v>
      </c>
      <c r="F245" s="5">
        <v>43638</v>
      </c>
      <c r="G245" t="s">
        <v>270</v>
      </c>
      <c r="H245" t="s">
        <v>21</v>
      </c>
      <c r="I245" t="s">
        <v>283</v>
      </c>
      <c r="J245" t="s">
        <v>316</v>
      </c>
      <c r="K245" s="10">
        <f>F245/(Q245*174*12)</f>
        <v>6.4658467921173504</v>
      </c>
      <c r="L245" s="3">
        <v>15.706972134378301</v>
      </c>
      <c r="M245" s="2">
        <v>0.61675636216785601</v>
      </c>
      <c r="N245" s="1">
        <v>0.77969348659003801</v>
      </c>
      <c r="O245" s="1">
        <v>0.78448275862068995</v>
      </c>
      <c r="P245" s="1">
        <v>1.6681034482758601</v>
      </c>
      <c r="Q245" s="19">
        <v>3.2322796934865901</v>
      </c>
      <c r="R245" s="1">
        <v>0.92385057471264398</v>
      </c>
      <c r="S245" s="16">
        <f>Q245+R245</f>
        <v>4.1561302681992345</v>
      </c>
      <c r="T245" s="1">
        <v>9.9377394636015304E-2</v>
      </c>
      <c r="U245" s="1">
        <v>3.09925519367816</v>
      </c>
      <c r="V245" s="1">
        <v>0.13302449980842901</v>
      </c>
      <c r="W245" s="7">
        <v>0</v>
      </c>
      <c r="X245" s="6">
        <f>IF(W245&lt;=-0.65,-1,IF(W245&gt;=0.65,ROUND(W245,0),0))</f>
        <v>0</v>
      </c>
    </row>
    <row r="246" spans="1:24" x14ac:dyDescent="0.2">
      <c r="A246">
        <v>552</v>
      </c>
      <c r="B246" s="4">
        <v>1285394.94</v>
      </c>
      <c r="C246" s="9">
        <f>B246/12</f>
        <v>107116.245</v>
      </c>
      <c r="D246" s="4">
        <v>58262.61</v>
      </c>
      <c r="E246" s="4">
        <v>4855.2174999999997</v>
      </c>
      <c r="F246" s="5">
        <v>60571</v>
      </c>
      <c r="G246" t="s">
        <v>208</v>
      </c>
      <c r="H246" t="s">
        <v>37</v>
      </c>
      <c r="I246" t="s">
        <v>261</v>
      </c>
      <c r="J246" t="s">
        <v>261</v>
      </c>
      <c r="K246" s="10">
        <f>F246/(Q246*174*12)</f>
        <v>11.23661997959371</v>
      </c>
      <c r="L246" s="3">
        <v>21.221293028016699</v>
      </c>
      <c r="M246" s="2">
        <v>0.68890422892126801</v>
      </c>
      <c r="N246" s="1">
        <v>0.85704022988505701</v>
      </c>
      <c r="O246" s="1">
        <v>0.84722222222222199</v>
      </c>
      <c r="P246" s="1">
        <v>0.87739463601532597</v>
      </c>
      <c r="Q246" s="19">
        <v>2.58165708812261</v>
      </c>
      <c r="R246" s="1">
        <v>0.22677203065134099</v>
      </c>
      <c r="S246" s="16">
        <f>Q246+R246</f>
        <v>2.808429118773951</v>
      </c>
      <c r="T246" s="1">
        <v>0.18199233716475099</v>
      </c>
      <c r="U246" s="1">
        <v>4.0763528763409997</v>
      </c>
      <c r="V246" s="1">
        <v>-1.49469578821839</v>
      </c>
      <c r="W246" s="7">
        <v>-1.2722308132636899</v>
      </c>
      <c r="X246" s="6">
        <v>-1</v>
      </c>
    </row>
    <row r="247" spans="1:24" x14ac:dyDescent="0.2">
      <c r="A247">
        <v>553</v>
      </c>
      <c r="B247" s="4">
        <v>1049067.6399999999</v>
      </c>
      <c r="C247" s="9">
        <f>B247/12</f>
        <v>87422.30333333333</v>
      </c>
      <c r="D247" s="4">
        <v>52770.42</v>
      </c>
      <c r="E247" s="4">
        <v>4397.5349999999999</v>
      </c>
      <c r="F247" s="5">
        <v>50552</v>
      </c>
      <c r="G247" t="s">
        <v>208</v>
      </c>
      <c r="H247" t="s">
        <v>19</v>
      </c>
      <c r="I247" t="s">
        <v>268</v>
      </c>
      <c r="J247" t="s">
        <v>381</v>
      </c>
      <c r="K247" s="10">
        <f>F247/(Q247*174*12)</f>
        <v>12.07211940298507</v>
      </c>
      <c r="L247" s="3">
        <v>20.752247982275701</v>
      </c>
      <c r="M247" s="2">
        <v>0.66184279595165096</v>
      </c>
      <c r="N247" s="1">
        <v>0.62212643678160895</v>
      </c>
      <c r="O247" s="1">
        <v>0.45617816091954</v>
      </c>
      <c r="P247" s="1">
        <v>0.9272030651341</v>
      </c>
      <c r="Q247" s="19">
        <v>2.0055076628352499</v>
      </c>
      <c r="R247" s="1">
        <v>0.235153256704981</v>
      </c>
      <c r="S247" s="16">
        <f>Q247+R247</f>
        <v>2.2406609195402307</v>
      </c>
      <c r="T247" s="1">
        <v>8.2614942528735594E-2</v>
      </c>
      <c r="U247" s="1">
        <v>3.4020866521072799</v>
      </c>
      <c r="V247" s="1">
        <v>-1.3965789892720299</v>
      </c>
      <c r="W247" s="7">
        <v>-1.1540211054199701</v>
      </c>
      <c r="X247" s="6">
        <f>IF(W247&lt;=-0.65,-1,IF(W247&gt;=0.65,ROUND(W247,0),0))</f>
        <v>-1</v>
      </c>
    </row>
    <row r="248" spans="1:24" x14ac:dyDescent="0.2">
      <c r="A248">
        <v>554</v>
      </c>
      <c r="B248" s="4">
        <v>636303.37</v>
      </c>
      <c r="C248" s="9">
        <f>B248/12</f>
        <v>53025.280833333331</v>
      </c>
      <c r="D248" s="4">
        <v>39173.51</v>
      </c>
      <c r="E248" s="4">
        <v>3264.459166666667</v>
      </c>
      <c r="F248" s="5">
        <v>34080</v>
      </c>
      <c r="G248" t="s">
        <v>270</v>
      </c>
      <c r="H248" t="s">
        <v>21</v>
      </c>
      <c r="I248" t="s">
        <v>299</v>
      </c>
      <c r="J248" t="s">
        <v>299</v>
      </c>
      <c r="K248" s="10">
        <f>F248/(Q248*174*12)</f>
        <v>8.0567375886524726</v>
      </c>
      <c r="L248" s="3">
        <v>18.670873532863901</v>
      </c>
      <c r="M248" s="2">
        <v>0.72921748002057596</v>
      </c>
      <c r="N248" s="1">
        <v>0.10320881226053601</v>
      </c>
      <c r="O248" s="1">
        <v>1.8754789272030701</v>
      </c>
      <c r="P248" s="1">
        <v>4.7174329501915697E-2</v>
      </c>
      <c r="Q248" s="19">
        <v>2.02586206896552</v>
      </c>
      <c r="R248" s="1">
        <v>0.204741379310345</v>
      </c>
      <c r="S248" s="16">
        <f>Q248+R248</f>
        <v>2.2306034482758652</v>
      </c>
      <c r="T248" s="1">
        <v>0.31728927203065099</v>
      </c>
      <c r="U248" s="1">
        <v>2.42042754022988</v>
      </c>
      <c r="V248" s="1">
        <v>-0.39456547126436797</v>
      </c>
      <c r="W248" s="7">
        <v>-0.217004349594447</v>
      </c>
      <c r="X248" s="6">
        <f>IF(W248&lt;=-0.65,-1,IF(W248&gt;=0.65,ROUND(W248,0),0))</f>
        <v>0</v>
      </c>
    </row>
    <row r="249" spans="1:24" x14ac:dyDescent="0.2">
      <c r="A249">
        <v>555</v>
      </c>
      <c r="B249" s="4">
        <v>590891.1</v>
      </c>
      <c r="C249" s="9">
        <f>B249/12</f>
        <v>49240.924999999996</v>
      </c>
      <c r="D249" s="4">
        <v>51657.35</v>
      </c>
      <c r="E249" s="4">
        <v>4304.7791666666662</v>
      </c>
      <c r="F249" s="5">
        <v>29647</v>
      </c>
      <c r="G249" t="s">
        <v>208</v>
      </c>
      <c r="H249" t="s">
        <v>98</v>
      </c>
      <c r="I249" t="s">
        <v>227</v>
      </c>
      <c r="J249" t="s">
        <v>227</v>
      </c>
      <c r="K249" s="10">
        <f>F249/(Q249*174*12)</f>
        <v>5.7808326021253791</v>
      </c>
      <c r="L249" s="3">
        <v>19.930890140654999</v>
      </c>
      <c r="M249" s="2">
        <v>0.58666334625788097</v>
      </c>
      <c r="N249" s="1">
        <v>0.85656130268199204</v>
      </c>
      <c r="O249" s="1">
        <v>0.79909003831417602</v>
      </c>
      <c r="P249" s="1">
        <v>0.80052681992337205</v>
      </c>
      <c r="Q249" s="19">
        <v>2.4561781609195399</v>
      </c>
      <c r="R249" s="1">
        <v>0.33812260536398497</v>
      </c>
      <c r="S249" s="16">
        <f>Q249+R249</f>
        <v>2.7943007662835249</v>
      </c>
      <c r="T249" s="1">
        <v>4.3582375478927203E-2</v>
      </c>
      <c r="U249" s="1">
        <v>1.9952061832375501</v>
      </c>
      <c r="V249" s="1">
        <v>0.46097197768199299</v>
      </c>
      <c r="W249" s="7">
        <v>0.39629492326542998</v>
      </c>
      <c r="X249" s="6">
        <f>IF(W249&lt;=-0.65,-1,IF(W249&gt;=0.65,ROUND(W249,0),0))</f>
        <v>0</v>
      </c>
    </row>
    <row r="250" spans="1:24" x14ac:dyDescent="0.2">
      <c r="A250">
        <v>556</v>
      </c>
      <c r="B250" s="4">
        <v>498678.39</v>
      </c>
      <c r="C250" s="9">
        <f>B250/12</f>
        <v>41556.532500000001</v>
      </c>
      <c r="D250" s="4">
        <v>42851.17</v>
      </c>
      <c r="E250" s="4">
        <v>3570.9308333333333</v>
      </c>
      <c r="F250" s="5">
        <v>28530</v>
      </c>
      <c r="G250" t="s">
        <v>208</v>
      </c>
      <c r="H250" t="s">
        <v>25</v>
      </c>
      <c r="I250" t="s">
        <v>255</v>
      </c>
      <c r="J250" t="s">
        <v>255</v>
      </c>
      <c r="K250" s="10">
        <f>F250/(Q250*174*12)</f>
        <v>8.3998233475636574</v>
      </c>
      <c r="L250" s="3">
        <v>17.479088328075701</v>
      </c>
      <c r="M250" s="2">
        <v>0.60265715544641896</v>
      </c>
      <c r="N250" s="1">
        <v>0.61997126436781602</v>
      </c>
      <c r="O250" s="1">
        <v>0.82758620689655205</v>
      </c>
      <c r="P250" s="1">
        <v>0.17911877394636</v>
      </c>
      <c r="Q250" s="19">
        <v>1.62667624521073</v>
      </c>
      <c r="R250" s="1">
        <v>0.46336206896551702</v>
      </c>
      <c r="S250" s="16">
        <f>Q250+R250</f>
        <v>2.0900383141762471</v>
      </c>
      <c r="T250" s="1">
        <v>0.18175287356321801</v>
      </c>
      <c r="U250" s="1">
        <v>1.9200334741379299</v>
      </c>
      <c r="V250" s="1">
        <v>-0.29335722892720301</v>
      </c>
      <c r="W250" s="7">
        <v>0</v>
      </c>
      <c r="X250" s="6">
        <f>IF(W250&lt;=-0.65,-1,IF(W250&gt;=0.65,ROUND(W250,0),0))</f>
        <v>0</v>
      </c>
    </row>
    <row r="251" spans="1:24" x14ac:dyDescent="0.2">
      <c r="A251">
        <v>558</v>
      </c>
      <c r="B251" s="4">
        <v>591207.62</v>
      </c>
      <c r="C251" s="9">
        <f>B251/12</f>
        <v>49267.301666666666</v>
      </c>
      <c r="D251" s="4">
        <v>43409.93</v>
      </c>
      <c r="E251" s="4">
        <v>3617.4941666666668</v>
      </c>
      <c r="F251" s="5">
        <v>28638</v>
      </c>
      <c r="G251" t="s">
        <v>270</v>
      </c>
      <c r="H251" t="s">
        <v>35</v>
      </c>
      <c r="I251" t="s">
        <v>288</v>
      </c>
      <c r="J251" t="s">
        <v>288</v>
      </c>
      <c r="K251" s="10">
        <f>F251/(Q251*174*12)</f>
        <v>7.1855476100865712</v>
      </c>
      <c r="L251" s="3">
        <v>20.644165793700701</v>
      </c>
      <c r="M251" s="2">
        <v>0.66035092714129795</v>
      </c>
      <c r="N251" s="1">
        <v>0.81369731800766298</v>
      </c>
      <c r="O251" s="1">
        <v>0.13697318007662801</v>
      </c>
      <c r="P251" s="1">
        <v>0.958093869731801</v>
      </c>
      <c r="Q251" s="19">
        <v>1.9087643678160899</v>
      </c>
      <c r="R251" s="1">
        <v>0.24904214559387</v>
      </c>
      <c r="S251" s="16">
        <f>Q251+R251</f>
        <v>2.1578065134099598</v>
      </c>
      <c r="T251" s="1">
        <v>0.20593869731800801</v>
      </c>
      <c r="U251" s="1">
        <v>2.0339261706896599</v>
      </c>
      <c r="V251" s="1">
        <v>-0.12516180287356299</v>
      </c>
      <c r="W251" s="7">
        <v>0</v>
      </c>
      <c r="X251" s="6">
        <f>IF(W251&lt;=-0.65,-1,IF(W251&gt;=0.65,ROUND(W251,0),0))</f>
        <v>0</v>
      </c>
    </row>
    <row r="252" spans="1:24" x14ac:dyDescent="0.2">
      <c r="A252">
        <v>562</v>
      </c>
      <c r="B252" s="4">
        <v>602925.05000000005</v>
      </c>
      <c r="C252" s="9">
        <f>B252/12</f>
        <v>50243.754166666673</v>
      </c>
      <c r="D252" s="4">
        <v>47213.65</v>
      </c>
      <c r="E252" s="4">
        <v>3934.4708333333333</v>
      </c>
      <c r="F252" s="5">
        <v>18585</v>
      </c>
      <c r="G252" t="s">
        <v>270</v>
      </c>
      <c r="H252" t="s">
        <v>33</v>
      </c>
      <c r="I252" t="s">
        <v>274</v>
      </c>
      <c r="J252" t="s">
        <v>235</v>
      </c>
      <c r="K252" s="10">
        <f>F252/(Q252*174*12)</f>
        <v>4.5434543454345455</v>
      </c>
      <c r="L252" s="3">
        <v>32.441487758945399</v>
      </c>
      <c r="M252" s="2">
        <v>0.77484951073106001</v>
      </c>
      <c r="N252" s="1">
        <v>0.82255747126436796</v>
      </c>
      <c r="O252" s="1">
        <v>0.32926245210728</v>
      </c>
      <c r="P252" s="1">
        <v>0.80723180076628398</v>
      </c>
      <c r="Q252" s="19">
        <v>1.9590517241379299</v>
      </c>
      <c r="R252" s="1">
        <v>0.28735632183908</v>
      </c>
      <c r="S252" s="16">
        <f>Q252+R252</f>
        <v>2.2464080459770099</v>
      </c>
      <c r="T252" s="1">
        <v>0.19300766283524901</v>
      </c>
      <c r="U252" s="1">
        <v>1.3199426594827599</v>
      </c>
      <c r="V252" s="1">
        <v>0.63910906465517203</v>
      </c>
      <c r="W252" s="7">
        <v>0</v>
      </c>
      <c r="X252" s="6">
        <f>IF(W252&lt;=-0.65,-1,IF(W252&gt;=0.65,ROUND(W252,0),0))</f>
        <v>0</v>
      </c>
    </row>
    <row r="253" spans="1:24" x14ac:dyDescent="0.2">
      <c r="A253">
        <v>565</v>
      </c>
      <c r="B253" s="4">
        <v>999598.71</v>
      </c>
      <c r="C253" s="9">
        <f>B253/12</f>
        <v>83299.892500000002</v>
      </c>
      <c r="D253" s="4">
        <v>61790.19</v>
      </c>
      <c r="E253" s="4">
        <v>5149.1824999999999</v>
      </c>
      <c r="F253" s="5">
        <v>50808</v>
      </c>
      <c r="G253" t="s">
        <v>208</v>
      </c>
      <c r="H253" t="s">
        <v>61</v>
      </c>
      <c r="I253" t="s">
        <v>264</v>
      </c>
      <c r="J253" t="s">
        <v>367</v>
      </c>
      <c r="K253" s="10">
        <f>F253/(Q253*174*12)</f>
        <v>9.699885452462782</v>
      </c>
      <c r="L253" s="3">
        <v>19.674041686348598</v>
      </c>
      <c r="M253" s="2">
        <v>0.61769515488870497</v>
      </c>
      <c r="N253" s="1">
        <v>0.84794061302682</v>
      </c>
      <c r="O253" s="1">
        <v>0.75335249042145602</v>
      </c>
      <c r="P253" s="1">
        <v>0.90732758620689702</v>
      </c>
      <c r="Q253" s="19">
        <v>2.5086206896551699</v>
      </c>
      <c r="R253" s="1">
        <v>0.36877394636015298</v>
      </c>
      <c r="S253" s="16">
        <f>Q253+R253</f>
        <v>2.8773946360153229</v>
      </c>
      <c r="T253" s="1">
        <v>6.4655172413793103E-3</v>
      </c>
      <c r="U253" s="1">
        <v>3.4193151333333298</v>
      </c>
      <c r="V253" s="1">
        <v>-0.91069444367816099</v>
      </c>
      <c r="W253" s="7">
        <v>-0.61915766179637199</v>
      </c>
      <c r="X253" s="6">
        <f>IF(W253&lt;=-0.65,-1,IF(W253&gt;=0.65,ROUND(W253,0),0))</f>
        <v>0</v>
      </c>
    </row>
    <row r="254" spans="1:24" x14ac:dyDescent="0.2">
      <c r="A254">
        <v>602</v>
      </c>
      <c r="B254" s="4">
        <v>1584351.07</v>
      </c>
      <c r="C254" s="9">
        <f>B254/12</f>
        <v>132029.25583333333</v>
      </c>
      <c r="D254" s="4">
        <v>102539.61</v>
      </c>
      <c r="E254" s="4">
        <v>8544.9675000000007</v>
      </c>
      <c r="F254" s="5">
        <v>99575</v>
      </c>
      <c r="G254" t="s">
        <v>18</v>
      </c>
      <c r="H254" t="s">
        <v>43</v>
      </c>
      <c r="I254" t="s">
        <v>128</v>
      </c>
      <c r="J254" t="s">
        <v>319</v>
      </c>
      <c r="K254" s="10">
        <f>F254/(Q254*174*12)</f>
        <v>9.5009780067744831</v>
      </c>
      <c r="L254" s="3">
        <v>15.9111330153151</v>
      </c>
      <c r="M254" s="2">
        <v>0.48814665173925098</v>
      </c>
      <c r="N254" s="1">
        <v>0.77634099616858199</v>
      </c>
      <c r="O254" s="1">
        <v>1.8175287356321801</v>
      </c>
      <c r="P254" s="1">
        <v>2.4255268199233702</v>
      </c>
      <c r="Q254" s="19">
        <v>5.0193965517241397</v>
      </c>
      <c r="R254" s="1">
        <v>0.76700191570881204</v>
      </c>
      <c r="S254" s="16">
        <f>Q254+R254</f>
        <v>5.7863984674329521</v>
      </c>
      <c r="T254" s="1">
        <v>2.72988505747126E-2</v>
      </c>
      <c r="U254" s="1">
        <v>4.8922656928599544</v>
      </c>
      <c r="V254" s="1">
        <v>0.12713085886418399</v>
      </c>
      <c r="W254" s="7">
        <v>0</v>
      </c>
      <c r="X254" s="6">
        <f>IF(W254&lt;=-0.65,-1,IF(W254&gt;=0.65,ROUND(W254,0),0))</f>
        <v>0</v>
      </c>
    </row>
    <row r="255" spans="1:24" x14ac:dyDescent="0.2">
      <c r="A255">
        <v>603</v>
      </c>
      <c r="B255" s="4">
        <v>607819.96</v>
      </c>
      <c r="C255" s="9">
        <f>B255/12</f>
        <v>50651.66333333333</v>
      </c>
      <c r="D255" s="4">
        <v>58502.720000000001</v>
      </c>
      <c r="E255" s="4">
        <v>4875.2266666666665</v>
      </c>
      <c r="F255" s="5">
        <v>28332</v>
      </c>
      <c r="G255" t="s">
        <v>208</v>
      </c>
      <c r="H255" t="s">
        <v>54</v>
      </c>
      <c r="I255" t="s">
        <v>209</v>
      </c>
      <c r="J255" t="s">
        <v>175</v>
      </c>
      <c r="K255" s="10">
        <f>F255/(Q255*174*12)</f>
        <v>3.922741433021808</v>
      </c>
      <c r="L255" s="3">
        <v>21.453478751941301</v>
      </c>
      <c r="M255" s="2">
        <v>0.64038249089417898</v>
      </c>
      <c r="N255" s="1">
        <v>0.85608237547892696</v>
      </c>
      <c r="O255" s="1">
        <v>0.86566091954022995</v>
      </c>
      <c r="P255" s="1">
        <v>1.7373084291187699</v>
      </c>
      <c r="Q255" s="19">
        <v>3.4590517241379302</v>
      </c>
      <c r="R255" s="1">
        <v>0.45593869731800801</v>
      </c>
      <c r="S255" s="16">
        <f>Q255+R255</f>
        <v>3.9149904214559381</v>
      </c>
      <c r="T255" s="1">
        <v>2.8735632183907998E-3</v>
      </c>
      <c r="U255" s="1">
        <v>1.90670832068966</v>
      </c>
      <c r="V255" s="1">
        <v>1.5523434034482799</v>
      </c>
      <c r="W255" s="7">
        <v>1.4489973643482399</v>
      </c>
      <c r="X255" s="6">
        <f>IF(W255&lt;=-0.65,-1,IF(W255&gt;=0.65,ROUND(W255,0),0))</f>
        <v>1</v>
      </c>
    </row>
    <row r="256" spans="1:24" x14ac:dyDescent="0.2">
      <c r="A256">
        <v>605</v>
      </c>
      <c r="B256" s="4">
        <v>2964725.87</v>
      </c>
      <c r="C256" s="9">
        <f>B256/12</f>
        <v>247060.48916666667</v>
      </c>
      <c r="D256" s="4">
        <v>184952.01</v>
      </c>
      <c r="E256" s="4">
        <v>15412.667500000001</v>
      </c>
      <c r="F256" s="5">
        <v>117765</v>
      </c>
      <c r="G256" t="s">
        <v>136</v>
      </c>
      <c r="H256" t="s">
        <v>46</v>
      </c>
      <c r="I256" t="s">
        <v>198</v>
      </c>
      <c r="J256" t="s">
        <v>175</v>
      </c>
      <c r="K256" s="10">
        <f>F256/(Q256*174*12)</f>
        <v>5.7955216535433092</v>
      </c>
      <c r="L256" s="3">
        <v>25.174932025644299</v>
      </c>
      <c r="M256" s="2">
        <v>0.65046664499878404</v>
      </c>
      <c r="N256" s="1">
        <v>0.75670498084291204</v>
      </c>
      <c r="O256" s="1">
        <v>4.7705938697318002</v>
      </c>
      <c r="P256" s="1">
        <v>4.2045019157088097</v>
      </c>
      <c r="Q256" s="19">
        <v>9.73180076628352</v>
      </c>
      <c r="R256" s="1">
        <v>1.63505747126437</v>
      </c>
      <c r="S256" s="16">
        <f>Q256+R256</f>
        <v>11.366858237547889</v>
      </c>
      <c r="T256" s="1">
        <v>6.5373563218390801E-2</v>
      </c>
      <c r="U256" s="1">
        <v>8.6665959461206903</v>
      </c>
      <c r="V256" s="1">
        <v>1.0652048201628399</v>
      </c>
      <c r="W256" s="7">
        <v>0.96285542517036804</v>
      </c>
      <c r="X256" s="6">
        <f>IF(W256&lt;=-0.65,-1,IF(W256&gt;=0.65,ROUND(W256,0),0))</f>
        <v>1</v>
      </c>
    </row>
    <row r="257" spans="1:24" x14ac:dyDescent="0.2">
      <c r="A257">
        <v>608</v>
      </c>
      <c r="B257" s="4">
        <v>737576.93</v>
      </c>
      <c r="C257" s="9">
        <f>B257/12</f>
        <v>61464.744166666671</v>
      </c>
      <c r="D257" s="4">
        <v>45559.360000000001</v>
      </c>
      <c r="E257" s="4">
        <v>3796.6133333333332</v>
      </c>
      <c r="F257" s="5">
        <v>22133</v>
      </c>
      <c r="G257" t="s">
        <v>208</v>
      </c>
      <c r="H257" t="s">
        <v>27</v>
      </c>
      <c r="I257" t="s">
        <v>210</v>
      </c>
      <c r="J257" t="s">
        <v>314</v>
      </c>
      <c r="K257" s="10">
        <f>F257/(Q257*174*12)</f>
        <v>4.4596010477533765</v>
      </c>
      <c r="L257" s="3">
        <v>33.324760764469303</v>
      </c>
      <c r="M257" s="2">
        <v>0.86889162870102199</v>
      </c>
      <c r="N257" s="1">
        <v>0.80244252873563204</v>
      </c>
      <c r="O257" s="1">
        <v>0.79046934865900398</v>
      </c>
      <c r="P257" s="1">
        <v>0.78400383141762398</v>
      </c>
      <c r="Q257" s="19">
        <v>2.3769157088122599</v>
      </c>
      <c r="R257" s="1">
        <v>0.40229885057471299</v>
      </c>
      <c r="S257" s="16">
        <f>Q257+R257</f>
        <v>2.7792145593869728</v>
      </c>
      <c r="T257" s="1">
        <v>1.9875478927203101E-2</v>
      </c>
      <c r="U257" s="1">
        <v>1.48952333975096</v>
      </c>
      <c r="V257" s="1">
        <v>0.88739236906130303</v>
      </c>
      <c r="W257" s="7">
        <v>0.22776809352241201</v>
      </c>
      <c r="X257" s="6">
        <f>IF(W257&lt;=-0.65,-1,IF(W257&gt;=0.65,ROUND(W257,0),0))</f>
        <v>0</v>
      </c>
    </row>
    <row r="258" spans="1:24" x14ac:dyDescent="0.2">
      <c r="A258">
        <v>609</v>
      </c>
      <c r="B258" s="4">
        <v>1172255.6000000001</v>
      </c>
      <c r="C258" s="9">
        <f>B258/12</f>
        <v>97687.966666666674</v>
      </c>
      <c r="D258" s="4">
        <v>84807.6</v>
      </c>
      <c r="E258" s="4">
        <v>7067.3</v>
      </c>
      <c r="F258" s="5">
        <v>84904</v>
      </c>
      <c r="G258" t="s">
        <v>86</v>
      </c>
      <c r="H258" t="s">
        <v>37</v>
      </c>
      <c r="I258" t="s">
        <v>129</v>
      </c>
      <c r="J258" t="s">
        <v>316</v>
      </c>
      <c r="K258" s="10">
        <f>F258/(Q258*174*12)</f>
        <v>10.093200190204465</v>
      </c>
      <c r="L258" s="3">
        <v>13.8068359559031</v>
      </c>
      <c r="M258" s="2">
        <v>0.24257445219284901</v>
      </c>
      <c r="N258" s="1">
        <v>0.87284482758620696</v>
      </c>
      <c r="O258" s="1">
        <v>1.36278735632184</v>
      </c>
      <c r="P258" s="1">
        <v>1.7931034482758601</v>
      </c>
      <c r="Q258" s="19">
        <v>4.0287356321839098</v>
      </c>
      <c r="R258" s="1">
        <v>0.98659003831417602</v>
      </c>
      <c r="S258" s="16">
        <f>Q258+R258</f>
        <v>5.0153256704980862</v>
      </c>
      <c r="T258" s="1">
        <v>0.21934865900383099</v>
      </c>
      <c r="U258" s="1">
        <v>4.2937773108260195</v>
      </c>
      <c r="V258" s="1">
        <v>-0.26504167864210898</v>
      </c>
      <c r="W258" s="7">
        <v>0</v>
      </c>
      <c r="X258" s="6">
        <f>IF(W258&lt;=-0.65,-1,IF(W258&gt;=0.65,ROUND(W258,0),0))</f>
        <v>0</v>
      </c>
    </row>
    <row r="259" spans="1:24" x14ac:dyDescent="0.2">
      <c r="A259">
        <v>610</v>
      </c>
      <c r="B259" s="4">
        <v>928541.34</v>
      </c>
      <c r="C259" s="9">
        <f>B259/12</f>
        <v>77378.444999999992</v>
      </c>
      <c r="D259" s="4">
        <v>40067.019999999997</v>
      </c>
      <c r="E259" s="4">
        <v>3338.9183333333331</v>
      </c>
      <c r="F259" s="5">
        <v>25015</v>
      </c>
      <c r="G259" t="s">
        <v>136</v>
      </c>
      <c r="H259" t="s">
        <v>43</v>
      </c>
      <c r="I259" t="s">
        <v>199</v>
      </c>
      <c r="J259" t="s">
        <v>217</v>
      </c>
      <c r="K259" s="10">
        <f>F259/(Q259*174*12)</f>
        <v>5.6858733947039379</v>
      </c>
      <c r="L259" s="3">
        <v>37.1193819708175</v>
      </c>
      <c r="M259" s="2">
        <v>0.84136026727684499</v>
      </c>
      <c r="N259" s="1">
        <v>5.8189655172413798E-2</v>
      </c>
      <c r="O259" s="1">
        <v>1.3338122605364</v>
      </c>
      <c r="P259" s="1">
        <v>0.71503831417624497</v>
      </c>
      <c r="Q259" s="19">
        <v>2.1070402298850599</v>
      </c>
      <c r="R259" s="1">
        <v>0.68989463601532597</v>
      </c>
      <c r="S259" s="16">
        <f>Q259+R259</f>
        <v>2.7969348659003859</v>
      </c>
      <c r="T259" s="1">
        <v>1.74808429118774E-2</v>
      </c>
      <c r="U259" s="1">
        <v>1.8409111161398499</v>
      </c>
      <c r="V259" s="1">
        <v>0.26612911374520998</v>
      </c>
      <c r="W259" s="7">
        <v>2.1290548578698599E-2</v>
      </c>
      <c r="X259" s="6">
        <f>IF(W259&lt;=-0.65,-1,IF(W259&gt;=0.65,ROUND(W259,0),0))</f>
        <v>0</v>
      </c>
    </row>
    <row r="260" spans="1:24" x14ac:dyDescent="0.2">
      <c r="A260">
        <v>611</v>
      </c>
      <c r="B260" s="4">
        <v>1022071.71</v>
      </c>
      <c r="C260" s="9">
        <f>B260/12</f>
        <v>85172.642500000002</v>
      </c>
      <c r="D260" s="4">
        <v>54952.72</v>
      </c>
      <c r="E260" s="4">
        <v>4579.3933333333334</v>
      </c>
      <c r="F260" s="5">
        <v>31583</v>
      </c>
      <c r="G260" t="s">
        <v>136</v>
      </c>
      <c r="H260" t="s">
        <v>23</v>
      </c>
      <c r="I260" t="s">
        <v>200</v>
      </c>
      <c r="J260" t="s">
        <v>200</v>
      </c>
      <c r="K260" s="10">
        <f>F260/(Q260*174*12)</f>
        <v>5.9422389463781702</v>
      </c>
      <c r="L260" s="3">
        <v>32.361451097109203</v>
      </c>
      <c r="M260" s="2">
        <v>0.82181639681622698</v>
      </c>
      <c r="N260" s="1">
        <v>0.93438697318007702</v>
      </c>
      <c r="O260" s="1">
        <v>0.75670498084291204</v>
      </c>
      <c r="P260" s="1">
        <v>0.854406130268199</v>
      </c>
      <c r="Q260" s="19">
        <v>2.5454980842911898</v>
      </c>
      <c r="R260" s="1">
        <v>0.40229885057471299</v>
      </c>
      <c r="S260" s="16">
        <f>Q260+R260</f>
        <v>2.9477969348659028</v>
      </c>
      <c r="T260" s="1" t="s">
        <v>388</v>
      </c>
      <c r="U260" s="1">
        <v>2.3242652720785402</v>
      </c>
      <c r="V260" s="1">
        <v>0.22123281221264299</v>
      </c>
      <c r="W260" s="7">
        <v>4.5173888763611399E-2</v>
      </c>
      <c r="X260" s="6">
        <f>IF(W260&lt;=-0.65,-1,IF(W260&gt;=0.65,ROUND(W260,0),0))</f>
        <v>0</v>
      </c>
    </row>
    <row r="261" spans="1:24" x14ac:dyDescent="0.2">
      <c r="A261">
        <v>612</v>
      </c>
      <c r="B261" s="4">
        <v>668739.31000000006</v>
      </c>
      <c r="C261" s="9">
        <f>B261/12</f>
        <v>55728.27583333334</v>
      </c>
      <c r="D261" s="4">
        <v>40229.5</v>
      </c>
      <c r="E261" s="4">
        <v>3352.4583333333335</v>
      </c>
      <c r="F261" s="5">
        <v>32414</v>
      </c>
      <c r="G261" t="s">
        <v>270</v>
      </c>
      <c r="H261" t="s">
        <v>33</v>
      </c>
      <c r="I261" t="s">
        <v>297</v>
      </c>
      <c r="J261" t="s">
        <v>206</v>
      </c>
      <c r="K261" s="10">
        <f>F261/(Q261*174*12)</f>
        <v>8.031219028741333</v>
      </c>
      <c r="L261" s="3">
        <v>20.631187449867301</v>
      </c>
      <c r="M261" s="2">
        <v>0.59030435940725501</v>
      </c>
      <c r="N261" s="1">
        <v>0.88864942528735602</v>
      </c>
      <c r="O261" s="1">
        <v>8.4291187739463605E-2</v>
      </c>
      <c r="P261" s="1">
        <v>0.96000957854406099</v>
      </c>
      <c r="Q261" s="19">
        <v>1.93295019157088</v>
      </c>
      <c r="R261" s="1">
        <v>0.247126436781609</v>
      </c>
      <c r="S261" s="16">
        <f>Q261+R261</f>
        <v>2.1800766283524888</v>
      </c>
      <c r="T261" s="1">
        <v>0.26652298850574702</v>
      </c>
      <c r="U261" s="1">
        <v>2.3021049967432998</v>
      </c>
      <c r="V261" s="1">
        <v>-0.369154805172414</v>
      </c>
      <c r="W261" s="7">
        <v>-0.220502329941893</v>
      </c>
      <c r="X261" s="6">
        <f>IF(W261&lt;=-0.65,-1,IF(W261&gt;=0.65,ROUND(W261,0),0))</f>
        <v>0</v>
      </c>
    </row>
    <row r="262" spans="1:24" x14ac:dyDescent="0.2">
      <c r="A262">
        <v>613</v>
      </c>
      <c r="B262" s="4">
        <v>617239.34</v>
      </c>
      <c r="C262" s="9">
        <f>B262/12</f>
        <v>51436.611666666664</v>
      </c>
      <c r="D262" s="4">
        <v>45631.839999999997</v>
      </c>
      <c r="E262" s="4">
        <v>3802.6533333333332</v>
      </c>
      <c r="F262" s="5">
        <v>28081</v>
      </c>
      <c r="G262" t="s">
        <v>208</v>
      </c>
      <c r="H262" t="s">
        <v>23</v>
      </c>
      <c r="I262" t="s">
        <v>258</v>
      </c>
      <c r="J262" t="s">
        <v>327</v>
      </c>
      <c r="K262" s="10">
        <f>F262/(Q262*174*12)</f>
        <v>9.1797973193853899</v>
      </c>
      <c r="L262" s="3">
        <v>21.980675189629999</v>
      </c>
      <c r="M262" s="2">
        <v>0.69468875720073198</v>
      </c>
      <c r="N262" s="1">
        <v>1.3742816091954</v>
      </c>
      <c r="O262" s="1">
        <v>2.5862068965517199E-2</v>
      </c>
      <c r="P262" s="1">
        <v>6.4894636015325705E-2</v>
      </c>
      <c r="Q262" s="19">
        <v>1.46503831417625</v>
      </c>
      <c r="R262" s="1">
        <v>0.208093869731801</v>
      </c>
      <c r="S262" s="16">
        <f>Q262+R262</f>
        <v>1.6731321839080509</v>
      </c>
      <c r="T262" s="1">
        <v>0.62787356321839105</v>
      </c>
      <c r="U262" s="1">
        <v>1.8898163332375499</v>
      </c>
      <c r="V262" s="1">
        <v>-0.42477801906130203</v>
      </c>
      <c r="W262" s="7">
        <v>-0.23308570979729001</v>
      </c>
      <c r="X262" s="6">
        <f>IF(W262&lt;=-0.65,-1,IF(W262&gt;=0.65,ROUND(W262,0),0))</f>
        <v>0</v>
      </c>
    </row>
    <row r="263" spans="1:24" x14ac:dyDescent="0.2">
      <c r="A263">
        <v>614</v>
      </c>
      <c r="B263" s="4">
        <v>930323.66</v>
      </c>
      <c r="C263" s="9">
        <f>B263/12</f>
        <v>77526.971666666665</v>
      </c>
      <c r="D263" s="4">
        <v>71537.759999999995</v>
      </c>
      <c r="E263" s="4">
        <v>5961.48</v>
      </c>
      <c r="F263" s="5">
        <v>41599</v>
      </c>
      <c r="G263" t="s">
        <v>136</v>
      </c>
      <c r="H263" t="s">
        <v>49</v>
      </c>
      <c r="I263" t="s">
        <v>201</v>
      </c>
      <c r="J263" t="s">
        <v>329</v>
      </c>
      <c r="K263" s="10">
        <f>F263/(Q263*174*12)</f>
        <v>6.0875100607302342</v>
      </c>
      <c r="L263" s="3">
        <v>22.3640871174788</v>
      </c>
      <c r="M263" s="2">
        <v>0.751031721583862</v>
      </c>
      <c r="N263" s="1">
        <v>0.81573275862068995</v>
      </c>
      <c r="O263" s="1">
        <v>0.77143199233716497</v>
      </c>
      <c r="P263" s="1">
        <v>1.6855842911877399</v>
      </c>
      <c r="Q263" s="19">
        <v>3.2727490421455898</v>
      </c>
      <c r="R263" s="1">
        <v>1.1867816091954</v>
      </c>
      <c r="S263" s="16">
        <f>Q263+R263</f>
        <v>4.45953065134099</v>
      </c>
      <c r="T263" s="1">
        <v>7.1839080459770103E-4</v>
      </c>
      <c r="U263" s="1">
        <v>3.0613656414272001</v>
      </c>
      <c r="V263" s="1">
        <v>0.21138340071839001</v>
      </c>
      <c r="W263" s="7">
        <v>0.127528263495855</v>
      </c>
      <c r="X263" s="6">
        <f>IF(W263&lt;=-0.65,-1,IF(W263&gt;=0.65,ROUND(W263,0),0))</f>
        <v>0</v>
      </c>
    </row>
    <row r="264" spans="1:24" x14ac:dyDescent="0.2">
      <c r="A264">
        <v>615</v>
      </c>
      <c r="B264" s="4">
        <v>619135.29</v>
      </c>
      <c r="C264" s="9">
        <f>B264/12</f>
        <v>51594.607500000006</v>
      </c>
      <c r="D264" s="4">
        <v>39601.730000000003</v>
      </c>
      <c r="E264" s="4">
        <v>3300.1441666666669</v>
      </c>
      <c r="F264" s="5">
        <v>33370</v>
      </c>
      <c r="G264" t="s">
        <v>270</v>
      </c>
      <c r="H264" t="s">
        <v>35</v>
      </c>
      <c r="I264" t="s">
        <v>300</v>
      </c>
      <c r="J264" t="s">
        <v>386</v>
      </c>
      <c r="K264" s="10">
        <f>F264/(Q264*174*12)</f>
        <v>8.3749529426527634</v>
      </c>
      <c r="L264" s="3">
        <v>18.553649685346102</v>
      </c>
      <c r="M264" s="2">
        <v>0.57736133890865804</v>
      </c>
      <c r="N264" s="1">
        <v>0.84123563218390796</v>
      </c>
      <c r="O264" s="1">
        <v>0.10727969348659</v>
      </c>
      <c r="P264" s="1">
        <v>0.95977011494252895</v>
      </c>
      <c r="Q264" s="19">
        <v>1.9082854406130301</v>
      </c>
      <c r="R264" s="1">
        <v>0.27586206896551702</v>
      </c>
      <c r="S264" s="16">
        <f>Q264+R264</f>
        <v>2.1841475095785472</v>
      </c>
      <c r="T264" s="1">
        <v>0.28376436781609199</v>
      </c>
      <c r="U264" s="1">
        <v>2.3700019664751002</v>
      </c>
      <c r="V264" s="1">
        <v>-0.46171652586206902</v>
      </c>
      <c r="W264" s="7">
        <v>-0.28089780630815497</v>
      </c>
      <c r="X264" s="6">
        <f>IF(W264&lt;=-0.65,-1,IF(W264&gt;=0.65,ROUND(W264,0),0))</f>
        <v>0</v>
      </c>
    </row>
    <row r="265" spans="1:24" x14ac:dyDescent="0.2">
      <c r="A265">
        <v>616</v>
      </c>
      <c r="B265" s="4">
        <v>1565047.83</v>
      </c>
      <c r="C265" s="9">
        <f>B265/12</f>
        <v>130420.65250000001</v>
      </c>
      <c r="D265" s="4">
        <v>94669.78</v>
      </c>
      <c r="E265" s="4">
        <v>7889.1483333333335</v>
      </c>
      <c r="F265" s="5">
        <v>95959</v>
      </c>
      <c r="G265" t="s">
        <v>18</v>
      </c>
      <c r="H265" t="s">
        <v>43</v>
      </c>
      <c r="I265" t="s">
        <v>130</v>
      </c>
      <c r="J265" t="s">
        <v>217</v>
      </c>
      <c r="K265" s="10">
        <f>F265/(Q265*174*12)</f>
        <v>10.051746713455197</v>
      </c>
      <c r="L265" s="3">
        <v>16.3095470982399</v>
      </c>
      <c r="M265" s="2">
        <v>0.438646517276089</v>
      </c>
      <c r="N265" s="1">
        <v>0.68534482758620696</v>
      </c>
      <c r="O265" s="1">
        <v>1.73108237547893</v>
      </c>
      <c r="P265" s="1">
        <v>2.1556513409961702</v>
      </c>
      <c r="Q265" s="19">
        <v>4.5720785440613003</v>
      </c>
      <c r="R265" s="1">
        <v>1.2219827586206899</v>
      </c>
      <c r="S265" s="16">
        <f>Q265+R265</f>
        <v>5.7940613026819907</v>
      </c>
      <c r="T265" s="1">
        <v>5.6513409961685801E-2</v>
      </c>
      <c r="U265" s="1">
        <v>4.7425405930519551</v>
      </c>
      <c r="V265" s="1">
        <v>-0.17046204899064901</v>
      </c>
      <c r="W265" s="7">
        <v>-0.17529898450499601</v>
      </c>
      <c r="X265" s="6">
        <f>IF(W265&lt;=-0.65,-1,IF(W265&gt;=0.65,ROUND(W265,0),0))</f>
        <v>0</v>
      </c>
    </row>
    <row r="266" spans="1:24" x14ac:dyDescent="0.2">
      <c r="A266">
        <v>617</v>
      </c>
      <c r="B266" s="4">
        <v>1538371.57</v>
      </c>
      <c r="C266" s="9">
        <f>B266/12</f>
        <v>128197.63083333334</v>
      </c>
      <c r="D266" s="4">
        <v>96362.06</v>
      </c>
      <c r="E266" s="4">
        <v>8030.1716666666662</v>
      </c>
      <c r="F266" s="5">
        <v>104628</v>
      </c>
      <c r="G266" t="s">
        <v>18</v>
      </c>
      <c r="H266" t="s">
        <v>61</v>
      </c>
      <c r="I266" t="s">
        <v>131</v>
      </c>
      <c r="J266" t="s">
        <v>163</v>
      </c>
      <c r="K266" s="10">
        <f>F266/(Q266*174*12)</f>
        <v>10.496914973664419</v>
      </c>
      <c r="L266" s="3">
        <v>14.7032493214054</v>
      </c>
      <c r="M266" s="2">
        <v>0.43312908467230699</v>
      </c>
      <c r="N266" s="1">
        <v>0.87763409961685801</v>
      </c>
      <c r="O266" s="1">
        <v>1.4829980842911901</v>
      </c>
      <c r="P266" s="1">
        <v>2.41307471264368</v>
      </c>
      <c r="Q266" s="19">
        <v>4.7737068965517198</v>
      </c>
      <c r="R266" s="1">
        <v>0.94923371647509602</v>
      </c>
      <c r="S266" s="16">
        <f>Q266+R266</f>
        <v>5.7229406130268154</v>
      </c>
      <c r="T266" s="1">
        <v>3.3045977011494303E-2</v>
      </c>
      <c r="U266" s="1">
        <v>5.1040304058585306</v>
      </c>
      <c r="V266" s="1">
        <v>-0.33032350930680598</v>
      </c>
      <c r="W266" s="7">
        <v>-3.7468862661260698E-2</v>
      </c>
      <c r="X266" s="6">
        <f>IF(W266&lt;=-0.65,-1,IF(W266&gt;=0.65,ROUND(W266,0),0))</f>
        <v>0</v>
      </c>
    </row>
    <row r="267" spans="1:24" x14ac:dyDescent="0.2">
      <c r="A267">
        <v>618</v>
      </c>
      <c r="B267" s="4">
        <v>2357418.36</v>
      </c>
      <c r="C267" s="9">
        <f>B267/12</f>
        <v>196451.53</v>
      </c>
      <c r="D267" s="4">
        <v>139717.46</v>
      </c>
      <c r="E267" s="4">
        <v>11643.121666666666</v>
      </c>
      <c r="F267" s="5">
        <v>136028</v>
      </c>
      <c r="G267" t="s">
        <v>18</v>
      </c>
      <c r="H267" t="s">
        <v>49</v>
      </c>
      <c r="I267" t="s">
        <v>132</v>
      </c>
      <c r="J267" t="s">
        <v>329</v>
      </c>
      <c r="K267" s="10">
        <f>F267/(Q267*174*12)</f>
        <v>9.6143054033996531</v>
      </c>
      <c r="L267" s="3">
        <v>17.330390507836601</v>
      </c>
      <c r="M267" s="2">
        <v>0.55270469260280097</v>
      </c>
      <c r="N267" s="1">
        <v>0.92744252873563204</v>
      </c>
      <c r="O267" s="1">
        <v>2.26436781609195</v>
      </c>
      <c r="P267" s="1">
        <v>3.5842911877394599</v>
      </c>
      <c r="Q267" s="19">
        <v>6.7761015325670497</v>
      </c>
      <c r="R267" s="1">
        <v>1.0301724137931001</v>
      </c>
      <c r="S267" s="16">
        <f>Q267+R267</f>
        <v>7.8062739463601503</v>
      </c>
      <c r="T267" s="1">
        <v>0.32998084291187701</v>
      </c>
      <c r="U267" s="1">
        <v>6.4928393540373808</v>
      </c>
      <c r="V267" s="1">
        <v>0.28326217852966601</v>
      </c>
      <c r="W267" s="7">
        <v>0</v>
      </c>
      <c r="X267" s="6">
        <f>IF(W267&lt;=-0.65,-1,IF(W267&gt;=0.65,ROUND(W267,0),0))</f>
        <v>0</v>
      </c>
    </row>
    <row r="268" spans="1:24" x14ac:dyDescent="0.2">
      <c r="A268">
        <v>619</v>
      </c>
      <c r="B268" s="4">
        <v>694495.53</v>
      </c>
      <c r="C268" s="9">
        <f>B268/12</f>
        <v>57874.627500000002</v>
      </c>
      <c r="D268" s="4">
        <v>50496.34</v>
      </c>
      <c r="E268" s="4">
        <v>4208.0283333333327</v>
      </c>
      <c r="F268" s="5">
        <v>28924</v>
      </c>
      <c r="G268" t="s">
        <v>208</v>
      </c>
      <c r="H268" t="s">
        <v>25</v>
      </c>
      <c r="I268" t="s">
        <v>226</v>
      </c>
      <c r="J268" t="s">
        <v>239</v>
      </c>
      <c r="K268" s="10">
        <f>F268/(Q268*174*12)</f>
        <v>5.7026813880126186</v>
      </c>
      <c r="L268" s="3">
        <v>24.011047227216199</v>
      </c>
      <c r="M268" s="2">
        <v>0.79176980447951895</v>
      </c>
      <c r="N268" s="1">
        <v>0.66570881226053602</v>
      </c>
      <c r="O268" s="1">
        <v>0.97796934865900398</v>
      </c>
      <c r="P268" s="1">
        <v>0.78544061302682</v>
      </c>
      <c r="Q268" s="19">
        <v>2.4291187739463602</v>
      </c>
      <c r="R268" s="1">
        <v>0.35871647509578503</v>
      </c>
      <c r="S268" s="16">
        <f>Q268+R268</f>
        <v>2.7878352490421454</v>
      </c>
      <c r="T268" s="1">
        <v>5.1484674329501899E-2</v>
      </c>
      <c r="U268" s="1">
        <v>1.9465491835249</v>
      </c>
      <c r="V268" s="1">
        <v>0.48256959042145597</v>
      </c>
      <c r="W268" s="7">
        <v>0.29391825910122599</v>
      </c>
      <c r="X268" s="6">
        <f>IF(W268&lt;=-0.65,-1,IF(W268&gt;=0.65,ROUND(W268,0),0))</f>
        <v>0</v>
      </c>
    </row>
    <row r="269" spans="1:24" x14ac:dyDescent="0.2">
      <c r="A269">
        <v>620</v>
      </c>
      <c r="B269" s="4">
        <v>897243.2</v>
      </c>
      <c r="C269" s="9">
        <f>B269/12</f>
        <v>74770.266666666663</v>
      </c>
      <c r="D269" s="4">
        <v>70119.27</v>
      </c>
      <c r="E269" s="4">
        <v>5843.2725</v>
      </c>
      <c r="F269" s="5">
        <v>44761</v>
      </c>
      <c r="G269" t="s">
        <v>208</v>
      </c>
      <c r="H269" t="s">
        <v>35</v>
      </c>
      <c r="I269" t="s">
        <v>241</v>
      </c>
      <c r="J269" t="s">
        <v>308</v>
      </c>
      <c r="K269" s="10">
        <f>F269/(Q269*174*12)</f>
        <v>6.9835400577268034</v>
      </c>
      <c r="L269" s="3">
        <v>20.0452000625545</v>
      </c>
      <c r="M269" s="2">
        <v>0.63318351144929297</v>
      </c>
      <c r="N269" s="1">
        <v>0.60967432950191602</v>
      </c>
      <c r="O269" s="1">
        <v>0.93175287356321801</v>
      </c>
      <c r="P269" s="1">
        <v>1.52825670498084</v>
      </c>
      <c r="Q269" s="19">
        <v>3.0696839080459801</v>
      </c>
      <c r="R269" s="1">
        <v>0.78448275862068995</v>
      </c>
      <c r="S269" s="16">
        <f>Q269+R269</f>
        <v>3.8541666666666701</v>
      </c>
      <c r="T269" s="1">
        <v>8.5009578544061298E-2</v>
      </c>
      <c r="U269" s="1">
        <v>3.0123595631226099</v>
      </c>
      <c r="V269" s="1">
        <v>5.7324344923371601E-2</v>
      </c>
      <c r="W269" s="7">
        <v>0</v>
      </c>
      <c r="X269" s="6">
        <f>IF(W269&lt;=-0.65,-1,IF(W269&gt;=0.65,ROUND(W269,0),0))</f>
        <v>0</v>
      </c>
    </row>
    <row r="270" spans="1:24" x14ac:dyDescent="0.2">
      <c r="A270">
        <v>621</v>
      </c>
      <c r="B270" s="4">
        <v>863756.80000000005</v>
      </c>
      <c r="C270" s="9">
        <f>B270/12</f>
        <v>71979.733333333337</v>
      </c>
      <c r="D270" s="4">
        <v>55801.41</v>
      </c>
      <c r="E270" s="4">
        <v>4650.1175000000003</v>
      </c>
      <c r="F270" s="5">
        <v>37340</v>
      </c>
      <c r="G270" t="s">
        <v>136</v>
      </c>
      <c r="H270" t="s">
        <v>19</v>
      </c>
      <c r="I270" t="s">
        <v>202</v>
      </c>
      <c r="J270" t="s">
        <v>370</v>
      </c>
      <c r="K270" s="10">
        <f>F270/(Q270*174*12)</f>
        <v>7.4934778246036622</v>
      </c>
      <c r="L270" s="3">
        <v>23.132212104981299</v>
      </c>
      <c r="M270" s="2">
        <v>0.782819724255716</v>
      </c>
      <c r="N270" s="1">
        <v>0.62188697318007702</v>
      </c>
      <c r="O270" s="1">
        <v>0.92672413793103403</v>
      </c>
      <c r="P270" s="1">
        <v>0.83788314176245204</v>
      </c>
      <c r="Q270" s="19">
        <v>2.3864942528735602</v>
      </c>
      <c r="R270" s="1">
        <v>0.43582375478927199</v>
      </c>
      <c r="S270" s="16">
        <f>Q270+R270</f>
        <v>2.8223180076628323</v>
      </c>
      <c r="T270" s="1">
        <v>9.1954022988505704E-2</v>
      </c>
      <c r="U270" s="1">
        <v>2.7479360814176199</v>
      </c>
      <c r="V270" s="1">
        <v>-0.36144182854406198</v>
      </c>
      <c r="W270" s="7">
        <v>-0.161899270300248</v>
      </c>
      <c r="X270" s="6">
        <f>IF(W270&lt;=-0.65,-1,IF(W270&gt;=0.65,ROUND(W270,0),0))</f>
        <v>0</v>
      </c>
    </row>
    <row r="271" spans="1:24" x14ac:dyDescent="0.2">
      <c r="A271">
        <v>624</v>
      </c>
      <c r="B271" s="4">
        <v>836936.62</v>
      </c>
      <c r="C271" s="9">
        <f>B271/12</f>
        <v>69744.718333333338</v>
      </c>
      <c r="D271" s="4">
        <v>66728.87</v>
      </c>
      <c r="E271" s="4">
        <v>5560.7391666666663</v>
      </c>
      <c r="F271" s="5">
        <v>33214</v>
      </c>
      <c r="G271" t="s">
        <v>270</v>
      </c>
      <c r="H271" t="s">
        <v>31</v>
      </c>
      <c r="I271" t="s">
        <v>272</v>
      </c>
      <c r="J271" t="s">
        <v>175</v>
      </c>
      <c r="K271" s="10">
        <f>F271/(Q271*174*12)</f>
        <v>4.4621481829784324</v>
      </c>
      <c r="L271" s="3">
        <v>25.198308544589601</v>
      </c>
      <c r="M271" s="2">
        <v>0.67400463370810604</v>
      </c>
      <c r="N271" s="1">
        <v>0.61637931034482796</v>
      </c>
      <c r="O271" s="1">
        <v>1.32231800766284</v>
      </c>
      <c r="P271" s="1">
        <v>1.6261973180076601</v>
      </c>
      <c r="Q271" s="19">
        <v>3.56489463601533</v>
      </c>
      <c r="R271" s="1">
        <v>0.57423371647509602</v>
      </c>
      <c r="S271" s="16">
        <f>Q271+R271</f>
        <v>4.1391283524904257</v>
      </c>
      <c r="T271" s="1">
        <v>0.18438697318007699</v>
      </c>
      <c r="U271" s="1">
        <v>2.35892254463602</v>
      </c>
      <c r="V271" s="1">
        <v>1.2059720913793099</v>
      </c>
      <c r="W271" s="7">
        <v>0.80148870877808198</v>
      </c>
      <c r="X271" s="6">
        <f>IF(W271&lt;=-0.65,-1,IF(W271&gt;=0.65,ROUND(W271,0),0))</f>
        <v>1</v>
      </c>
    </row>
    <row r="272" spans="1:24" x14ac:dyDescent="0.2">
      <c r="A272">
        <v>626</v>
      </c>
      <c r="B272" s="4">
        <v>1076300.49</v>
      </c>
      <c r="C272" s="9">
        <f>B272/12</f>
        <v>89691.707500000004</v>
      </c>
      <c r="D272" s="4">
        <v>87223.61</v>
      </c>
      <c r="E272" s="4">
        <v>7268.6341666666667</v>
      </c>
      <c r="F272" s="5">
        <v>84596</v>
      </c>
      <c r="G272" t="s">
        <v>18</v>
      </c>
      <c r="H272" t="s">
        <v>54</v>
      </c>
      <c r="I272" t="s">
        <v>133</v>
      </c>
      <c r="J272" t="s">
        <v>342</v>
      </c>
      <c r="K272" s="10">
        <f>F272/(Q272*174*12)</f>
        <v>9.0978114749690793</v>
      </c>
      <c r="L272" s="3">
        <v>12.7228295664098</v>
      </c>
      <c r="M272" s="2">
        <v>0.38128990352870701</v>
      </c>
      <c r="N272" s="1">
        <v>1</v>
      </c>
      <c r="O272" s="1">
        <v>0.93630268199233702</v>
      </c>
      <c r="P272" s="1">
        <v>2.5170019157088102</v>
      </c>
      <c r="Q272" s="19">
        <v>4.4533045977011501</v>
      </c>
      <c r="R272" s="1">
        <v>0.47318007662835199</v>
      </c>
      <c r="S272" s="16">
        <f>Q272+R272</f>
        <v>4.9264846743295019</v>
      </c>
      <c r="T272" s="1">
        <v>1.0462164750957901</v>
      </c>
      <c r="U272" s="1">
        <v>4.2814616987519702</v>
      </c>
      <c r="V272" s="1">
        <v>0.17184289894917501</v>
      </c>
      <c r="W272" s="7">
        <v>0.425202091986775</v>
      </c>
      <c r="X272" s="6">
        <f>IF(W272&lt;=-0.65,-1,IF(W272&gt;=0.65,ROUND(W272,0),0))</f>
        <v>0</v>
      </c>
    </row>
    <row r="273" spans="1:24" x14ac:dyDescent="0.2">
      <c r="A273">
        <v>627</v>
      </c>
      <c r="B273" s="4">
        <v>1304017.57</v>
      </c>
      <c r="C273" s="9">
        <f>B273/12</f>
        <v>108668.13083333334</v>
      </c>
      <c r="D273" s="4">
        <v>94966.69</v>
      </c>
      <c r="E273" s="4">
        <v>7913.8908333333338</v>
      </c>
      <c r="F273" s="5">
        <v>92521</v>
      </c>
      <c r="G273" t="s">
        <v>86</v>
      </c>
      <c r="H273" t="s">
        <v>40</v>
      </c>
      <c r="I273" t="s">
        <v>134</v>
      </c>
      <c r="J273" t="s">
        <v>311</v>
      </c>
      <c r="K273" s="10">
        <f>F273/(Q273*174*12)</f>
        <v>10.171054801297208</v>
      </c>
      <c r="L273" s="3">
        <v>14.094287459063301</v>
      </c>
      <c r="M273" s="2">
        <v>0.22561718244333201</v>
      </c>
      <c r="N273" s="1">
        <v>0.85943486590038298</v>
      </c>
      <c r="O273" s="1">
        <v>1.0965038314176201</v>
      </c>
      <c r="P273" s="1">
        <v>2.4006226053639801</v>
      </c>
      <c r="Q273" s="19">
        <v>4.3565613026819898</v>
      </c>
      <c r="R273" s="1">
        <v>0.71455938697318</v>
      </c>
      <c r="S273" s="16">
        <f>Q273+R273</f>
        <v>5.0711206896551699</v>
      </c>
      <c r="T273" s="1">
        <v>0.26197318007662801</v>
      </c>
      <c r="U273" s="1">
        <v>4.6015526095201196</v>
      </c>
      <c r="V273" s="1">
        <v>-0.244991306838128</v>
      </c>
      <c r="W273" s="7">
        <v>0</v>
      </c>
      <c r="X273" s="6">
        <f>IF(W273&lt;=-0.65,-1,IF(W273&gt;=0.65,ROUND(W273,0),0))</f>
        <v>0</v>
      </c>
    </row>
    <row r="274" spans="1:24" x14ac:dyDescent="0.2">
      <c r="A274">
        <v>628</v>
      </c>
      <c r="B274" s="4">
        <v>560790.32999999996</v>
      </c>
      <c r="C274" s="9">
        <f>B274/12</f>
        <v>46732.527499999997</v>
      </c>
      <c r="D274" s="4">
        <v>48742.85</v>
      </c>
      <c r="E274" s="4">
        <v>4061.9041666666667</v>
      </c>
      <c r="F274" s="5">
        <v>23711</v>
      </c>
      <c r="G274" t="s">
        <v>136</v>
      </c>
      <c r="H274" t="s">
        <v>98</v>
      </c>
      <c r="I274" t="s">
        <v>203</v>
      </c>
      <c r="J274" t="s">
        <v>227</v>
      </c>
      <c r="K274" s="10">
        <f>F274/(Q274*174*12)</f>
        <v>4.8032006482325622</v>
      </c>
      <c r="L274" s="3">
        <v>23.651061954367201</v>
      </c>
      <c r="M274" s="2">
        <v>0.75661709430688695</v>
      </c>
      <c r="N274" s="1">
        <v>0.83524904214559403</v>
      </c>
      <c r="O274" s="1">
        <v>0.75263409961685801</v>
      </c>
      <c r="P274" s="1">
        <v>0.77634099616858199</v>
      </c>
      <c r="Q274" s="19">
        <v>2.3642241379310298</v>
      </c>
      <c r="R274" s="1">
        <v>0.29897030651341</v>
      </c>
      <c r="S274" s="16">
        <f>Q274+R274</f>
        <v>2.6631944444444398</v>
      </c>
      <c r="T274" s="1">
        <v>0.309626436781609</v>
      </c>
      <c r="U274" s="1">
        <v>1.74494677092912</v>
      </c>
      <c r="V274" s="1">
        <v>0.61927736700191605</v>
      </c>
      <c r="W274" s="7">
        <v>0.52758720620191502</v>
      </c>
      <c r="X274" s="6">
        <f>IF(W274&lt;=-0.65,-1,IF(W274&gt;=0.65,ROUND(W274,0),0))</f>
        <v>0</v>
      </c>
    </row>
    <row r="275" spans="1:24" x14ac:dyDescent="0.2">
      <c r="A275">
        <v>629</v>
      </c>
      <c r="B275" s="4">
        <v>768548.72</v>
      </c>
      <c r="C275" s="9">
        <f>B275/12</f>
        <v>64045.726666666662</v>
      </c>
      <c r="D275" s="4">
        <v>66338.02</v>
      </c>
      <c r="E275" s="4">
        <v>5528.168333333334</v>
      </c>
      <c r="F275" s="5">
        <v>30780</v>
      </c>
      <c r="G275" t="s">
        <v>136</v>
      </c>
      <c r="H275" t="s">
        <v>40</v>
      </c>
      <c r="I275" t="s">
        <v>204</v>
      </c>
      <c r="J275" t="s">
        <v>371</v>
      </c>
      <c r="K275" s="10">
        <f>F275/(Q275*174*12)</f>
        <v>4.9382319910155639</v>
      </c>
      <c r="L275" s="3">
        <v>24.969094217024001</v>
      </c>
      <c r="M275" s="2">
        <v>0.72681201004407403</v>
      </c>
      <c r="N275" s="1">
        <v>0.67432950191570895</v>
      </c>
      <c r="O275" s="1">
        <v>0.73730842911877403</v>
      </c>
      <c r="P275" s="1">
        <v>1.5735153256704999</v>
      </c>
      <c r="Q275" s="19">
        <v>2.9851532567049799</v>
      </c>
      <c r="R275" s="1">
        <v>0.604406130268199</v>
      </c>
      <c r="S275" s="16">
        <f>Q275+R275</f>
        <v>3.5895593869731788</v>
      </c>
      <c r="T275" s="1">
        <v>1.1494252873563199E-2</v>
      </c>
      <c r="U275" s="1">
        <v>2.2651706637930999</v>
      </c>
      <c r="V275" s="1">
        <v>0.71998259291187705</v>
      </c>
      <c r="W275" s="7">
        <v>0.61916613763793604</v>
      </c>
      <c r="X275" s="6">
        <f>IF(W275&lt;=-0.65,-1,IF(W275&gt;=0.65,ROUND(W275,0),0))</f>
        <v>0</v>
      </c>
    </row>
    <row r="276" spans="1:24" x14ac:dyDescent="0.2">
      <c r="A276">
        <v>630</v>
      </c>
      <c r="B276" s="4">
        <v>822214.42</v>
      </c>
      <c r="C276" s="9">
        <f>B276/12</f>
        <v>68517.868333333332</v>
      </c>
      <c r="D276" s="4">
        <v>53768.71</v>
      </c>
      <c r="E276" s="4">
        <v>4480.725833333333</v>
      </c>
      <c r="F276" s="5">
        <v>35606</v>
      </c>
      <c r="G276" t="s">
        <v>270</v>
      </c>
      <c r="H276" t="s">
        <v>27</v>
      </c>
      <c r="I276" t="s">
        <v>295</v>
      </c>
      <c r="J276" t="s">
        <v>295</v>
      </c>
      <c r="K276" s="10">
        <f>F276/(Q276*174*12)</f>
        <v>7.8049101271372265</v>
      </c>
      <c r="L276" s="3">
        <v>23.092018760883001</v>
      </c>
      <c r="M276" s="2">
        <v>0.75910995333796305</v>
      </c>
      <c r="N276" s="1">
        <v>0.76293103448275901</v>
      </c>
      <c r="O276" s="1">
        <v>0.556034482758621</v>
      </c>
      <c r="P276" s="1">
        <v>0.86590038314176299</v>
      </c>
      <c r="Q276" s="19">
        <v>2.1848659003831399</v>
      </c>
      <c r="R276" s="1">
        <v>0.57088122605364</v>
      </c>
      <c r="S276" s="16">
        <f>Q276+R276</f>
        <v>2.7557471264367797</v>
      </c>
      <c r="T276" s="1">
        <v>0.1772030651341</v>
      </c>
      <c r="U276" s="1">
        <v>2.5288070128352498</v>
      </c>
      <c r="V276" s="1">
        <v>-0.34394111245210701</v>
      </c>
      <c r="W276" s="7">
        <v>-0.17602706495926801</v>
      </c>
      <c r="X276" s="6">
        <f>IF(W276&lt;=-0.65,-1,IF(W276&gt;=0.65,ROUND(W276,0),0))</f>
        <v>0</v>
      </c>
    </row>
    <row r="277" spans="1:24" x14ac:dyDescent="0.2">
      <c r="A277">
        <v>631</v>
      </c>
      <c r="B277" s="4">
        <v>243888.25</v>
      </c>
      <c r="C277" s="9">
        <f>B277/12</f>
        <v>20324.020833333332</v>
      </c>
      <c r="D277" s="4">
        <v>35227.22</v>
      </c>
      <c r="E277" s="4">
        <v>2935.6016666666669</v>
      </c>
      <c r="F277" s="5">
        <v>16613</v>
      </c>
      <c r="G277" t="s">
        <v>270</v>
      </c>
      <c r="H277" t="s">
        <v>35</v>
      </c>
      <c r="I277" t="s">
        <v>275</v>
      </c>
      <c r="J277" t="s">
        <v>345</v>
      </c>
      <c r="K277" s="10">
        <f>F277/(Q277*174*12)</f>
        <v>4.4212907518296776</v>
      </c>
      <c r="L277" s="3">
        <v>14.680566423884899</v>
      </c>
      <c r="M277" s="2">
        <v>0.41304134168005202</v>
      </c>
      <c r="N277" s="1">
        <v>0.90110153256704995</v>
      </c>
      <c r="O277" s="1">
        <v>4.5977011494252901E-2</v>
      </c>
      <c r="P277" s="1">
        <v>0.85249042145593901</v>
      </c>
      <c r="Q277" s="19">
        <v>1.79956896551724</v>
      </c>
      <c r="R277" s="1">
        <v>0.20689655172413801</v>
      </c>
      <c r="S277" s="16">
        <f>Q277+R277</f>
        <v>2.0064655172413781</v>
      </c>
      <c r="T277" s="1">
        <v>0.114942528735632</v>
      </c>
      <c r="U277" s="1">
        <v>1.1798874039272</v>
      </c>
      <c r="V277" s="1">
        <v>0.61968156159003795</v>
      </c>
      <c r="W277" s="7">
        <v>0.43140918971987302</v>
      </c>
      <c r="X277" s="6">
        <f>IF(W277&lt;=-0.65,-1,IF(W277&gt;=0.65,ROUND(W277,0),0))</f>
        <v>0</v>
      </c>
    </row>
    <row r="278" spans="1:24" x14ac:dyDescent="0.2">
      <c r="A278">
        <v>633</v>
      </c>
      <c r="B278" s="4">
        <v>1057700.99</v>
      </c>
      <c r="C278" s="9">
        <f>B278/12</f>
        <v>88141.749166666661</v>
      </c>
      <c r="D278" s="4">
        <v>60164.33</v>
      </c>
      <c r="E278" s="4">
        <v>5013.6941666666671</v>
      </c>
      <c r="F278" s="5">
        <v>54176</v>
      </c>
      <c r="G278" t="s">
        <v>208</v>
      </c>
      <c r="H278" t="s">
        <v>35</v>
      </c>
      <c r="I278" t="s">
        <v>265</v>
      </c>
      <c r="J278" t="s">
        <v>344</v>
      </c>
      <c r="K278" s="10">
        <f>F278/(Q278*174*12)</f>
        <v>10.460706700135159</v>
      </c>
      <c r="L278" s="3">
        <v>19.523423471648002</v>
      </c>
      <c r="M278" s="2">
        <v>0.65145940725648799</v>
      </c>
      <c r="N278" s="1">
        <v>0.86159003831417602</v>
      </c>
      <c r="O278" s="1">
        <v>0.72988505747126398</v>
      </c>
      <c r="P278" s="1">
        <v>0.88888888888888895</v>
      </c>
      <c r="Q278" s="19">
        <v>2.4803639846743302</v>
      </c>
      <c r="R278" s="1">
        <v>0.32614942528735602</v>
      </c>
      <c r="S278" s="16">
        <f>Q278+R278</f>
        <v>2.8065134099616862</v>
      </c>
      <c r="T278" s="1">
        <v>5.1484674329501899E-2</v>
      </c>
      <c r="U278" s="1">
        <v>3.6459773394636001</v>
      </c>
      <c r="V278" s="1">
        <v>-1.16561335478927</v>
      </c>
      <c r="W278" s="7">
        <v>-0.86695623492571305</v>
      </c>
      <c r="X278" s="6">
        <f>IF(W278&lt;=-0.65,-1,IF(W278&gt;=0.65,ROUND(W278,0),0))</f>
        <v>-1</v>
      </c>
    </row>
    <row r="279" spans="1:24" x14ac:dyDescent="0.2">
      <c r="A279">
        <v>634</v>
      </c>
      <c r="B279" s="4">
        <v>1277806.1200000001</v>
      </c>
      <c r="C279" s="9">
        <f>B279/12</f>
        <v>106483.84333333334</v>
      </c>
      <c r="D279" s="4">
        <v>58769.98</v>
      </c>
      <c r="E279" s="4">
        <v>4897.4983333333339</v>
      </c>
      <c r="F279" s="5">
        <v>43586</v>
      </c>
      <c r="G279" t="s">
        <v>208</v>
      </c>
      <c r="H279" t="s">
        <v>27</v>
      </c>
      <c r="I279" t="s">
        <v>250</v>
      </c>
      <c r="J279" t="s">
        <v>325</v>
      </c>
      <c r="K279" s="10">
        <f>F279/(Q279*174*12)</f>
        <v>7.4078606330996459</v>
      </c>
      <c r="L279" s="3">
        <v>29.316893497912201</v>
      </c>
      <c r="M279" s="2">
        <v>0.78864248200658205</v>
      </c>
      <c r="N279" s="1">
        <v>0.91187739463601503</v>
      </c>
      <c r="O279" s="1">
        <v>1.12883141762452</v>
      </c>
      <c r="P279" s="1">
        <v>0.77717911877394596</v>
      </c>
      <c r="Q279" s="19">
        <v>2.81788793103448</v>
      </c>
      <c r="R279" s="1">
        <v>1.0095785440613001</v>
      </c>
      <c r="S279" s="16">
        <f>Q279+R279</f>
        <v>3.8274664750957799</v>
      </c>
      <c r="T279" s="1">
        <v>1.2212643678160899E-2</v>
      </c>
      <c r="U279" s="1">
        <v>2.9332835262452099</v>
      </c>
      <c r="V279" s="1">
        <v>-0.11539559521072799</v>
      </c>
      <c r="W279" s="7">
        <v>-0.111481984356204</v>
      </c>
      <c r="X279" s="6">
        <f>IF(W279&lt;=-0.65,-1,IF(W279&gt;=0.65,ROUND(W279,0),0))</f>
        <v>0</v>
      </c>
    </row>
    <row r="280" spans="1:24" x14ac:dyDescent="0.2">
      <c r="A280">
        <v>635</v>
      </c>
      <c r="B280" s="4">
        <v>1125165.99</v>
      </c>
      <c r="C280" s="9">
        <f>B280/12</f>
        <v>93763.832500000004</v>
      </c>
      <c r="D280" s="4">
        <v>97754.71</v>
      </c>
      <c r="E280" s="4">
        <v>8146.2258333333339</v>
      </c>
      <c r="F280" s="5">
        <v>58552</v>
      </c>
      <c r="G280" t="s">
        <v>86</v>
      </c>
      <c r="H280" t="s">
        <v>46</v>
      </c>
      <c r="I280" t="s">
        <v>135</v>
      </c>
      <c r="J280" t="s">
        <v>175</v>
      </c>
      <c r="K280" s="10">
        <f>F280/(Q280*174*12)</f>
        <v>5.6127300613496915</v>
      </c>
      <c r="L280" s="3">
        <v>19.2165253108348</v>
      </c>
      <c r="M280" s="2">
        <v>0.39166533997352698</v>
      </c>
      <c r="N280" s="1">
        <v>0.431034482758621</v>
      </c>
      <c r="O280" s="1">
        <v>2.0811781609195399</v>
      </c>
      <c r="P280" s="1">
        <v>2.4839559386973198</v>
      </c>
      <c r="Q280" s="19">
        <v>4.9961685823754802</v>
      </c>
      <c r="R280" s="1">
        <v>0.72318007662835204</v>
      </c>
      <c r="S280" s="16">
        <f>Q280+R280</f>
        <v>5.719348659003832</v>
      </c>
      <c r="T280" s="1">
        <v>0.10201149425287399</v>
      </c>
      <c r="U280" s="1">
        <v>3.2737796134611798</v>
      </c>
      <c r="V280" s="1">
        <v>1.7223889689142999</v>
      </c>
      <c r="W280" s="7">
        <v>0.748703362209582</v>
      </c>
      <c r="X280" s="6">
        <f>IF(W280&lt;=-0.65,-1,IF(W280&gt;=0.65,ROUND(W280,0),0))</f>
        <v>1</v>
      </c>
    </row>
    <row r="281" spans="1:24" x14ac:dyDescent="0.2">
      <c r="A281">
        <v>637</v>
      </c>
      <c r="B281" s="4">
        <v>333767.55</v>
      </c>
      <c r="C281" s="9">
        <f>B281/12</f>
        <v>27813.962499999998</v>
      </c>
      <c r="D281" s="4">
        <v>31680.12</v>
      </c>
      <c r="E281" s="4">
        <v>2640.0099999999998</v>
      </c>
      <c r="F281" s="5">
        <v>16041</v>
      </c>
      <c r="G281" t="s">
        <v>208</v>
      </c>
      <c r="H281" t="s">
        <v>37</v>
      </c>
      <c r="I281" t="s">
        <v>243</v>
      </c>
      <c r="J281" t="s">
        <v>334</v>
      </c>
      <c r="K281" s="10">
        <f>F281/(Q281*174*12)</f>
        <v>7.5186313569252663</v>
      </c>
      <c r="L281" s="3">
        <v>20.807153544043398</v>
      </c>
      <c r="M281" s="2">
        <v>0.79279441635353698</v>
      </c>
      <c r="N281" s="1">
        <v>0.69109195402298895</v>
      </c>
      <c r="O281" s="1">
        <v>0.31968390804597702</v>
      </c>
      <c r="P281" s="1">
        <v>1.1015325670498099E-2</v>
      </c>
      <c r="Q281" s="19">
        <v>1.0217911877394601</v>
      </c>
      <c r="R281" s="1">
        <v>4.8371647509578501E-2</v>
      </c>
      <c r="S281" s="16">
        <f>Q281+R281</f>
        <v>1.0701628352490387</v>
      </c>
      <c r="T281" s="1">
        <v>0.36039272030651298</v>
      </c>
      <c r="U281" s="1">
        <v>1.0795393255747101</v>
      </c>
      <c r="V281" s="1">
        <v>-5.7748137835249097E-2</v>
      </c>
      <c r="W281" s="7">
        <v>0</v>
      </c>
      <c r="X281" s="6">
        <f>IF(W281&lt;=-0.65,-1,IF(W281&gt;=0.65,ROUND(W281,0),0))</f>
        <v>0</v>
      </c>
    </row>
    <row r="282" spans="1:24" x14ac:dyDescent="0.2">
      <c r="A282">
        <v>638</v>
      </c>
      <c r="B282" s="4">
        <v>578870.54</v>
      </c>
      <c r="C282" s="9">
        <f>B282/12</f>
        <v>48239.21166666667</v>
      </c>
      <c r="D282" s="4">
        <v>48203.03</v>
      </c>
      <c r="E282" s="4">
        <v>4016.9191666666666</v>
      </c>
      <c r="F282" s="5">
        <v>28071</v>
      </c>
      <c r="G282" t="s">
        <v>136</v>
      </c>
      <c r="H282" t="s">
        <v>31</v>
      </c>
      <c r="I282" t="s">
        <v>205</v>
      </c>
      <c r="J282" t="s">
        <v>175</v>
      </c>
      <c r="K282" s="10">
        <f>F282/(Q282*174*12)</f>
        <v>5.8499531103469735</v>
      </c>
      <c r="L282" s="3">
        <v>20.621657226319002</v>
      </c>
      <c r="M282" s="2">
        <v>0.70657719081713899</v>
      </c>
      <c r="N282" s="1">
        <v>0.68534482758620696</v>
      </c>
      <c r="O282" s="1">
        <v>1.61278735632184</v>
      </c>
      <c r="P282" s="1">
        <v>0</v>
      </c>
      <c r="Q282" s="19">
        <v>2.29813218390805</v>
      </c>
      <c r="R282" s="1">
        <v>0.33955938697318</v>
      </c>
      <c r="S282" s="16">
        <f>Q282+R282</f>
        <v>2.6376915708812301</v>
      </c>
      <c r="T282" s="1">
        <v>5.8189655172413798E-2</v>
      </c>
      <c r="U282" s="1">
        <v>2.06580915215517</v>
      </c>
      <c r="V282" s="1">
        <v>0.232323031752873</v>
      </c>
      <c r="W282" s="7">
        <v>0.15757588968782399</v>
      </c>
      <c r="X282" s="6">
        <f>IF(W282&lt;=-0.65,-1,IF(W282&gt;=0.65,ROUND(W282,0),0))</f>
        <v>0</v>
      </c>
    </row>
    <row r="283" spans="1:24" x14ac:dyDescent="0.2">
      <c r="A283">
        <v>639</v>
      </c>
      <c r="B283" s="4">
        <v>1269204.02</v>
      </c>
      <c r="C283" s="9">
        <f>B283/12</f>
        <v>105767.00166666666</v>
      </c>
      <c r="D283" s="4">
        <v>89863.4</v>
      </c>
      <c r="E283" s="4">
        <v>7488.6166666666659</v>
      </c>
      <c r="F283" s="5">
        <v>51181</v>
      </c>
      <c r="G283" t="s">
        <v>136</v>
      </c>
      <c r="H283" t="s">
        <v>33</v>
      </c>
      <c r="I283" t="s">
        <v>206</v>
      </c>
      <c r="J283" t="s">
        <v>206</v>
      </c>
      <c r="K283" s="10">
        <f>F283/(Q283*174*12)</f>
        <v>5.9107287215613766</v>
      </c>
      <c r="L283" s="3">
        <v>24.798343525917801</v>
      </c>
      <c r="M283" s="2">
        <v>0.73501017590536799</v>
      </c>
      <c r="N283" s="1">
        <v>0.84506704980842895</v>
      </c>
      <c r="O283" s="1">
        <v>1.65469348659004</v>
      </c>
      <c r="P283" s="1">
        <v>1.64727011494253</v>
      </c>
      <c r="Q283" s="19">
        <v>4.1470306513409998</v>
      </c>
      <c r="R283" s="1">
        <v>0.73323754789272</v>
      </c>
      <c r="S283" s="16">
        <f>Q283+R283</f>
        <v>4.8802681992337202</v>
      </c>
      <c r="T283" s="1">
        <v>4.2624521072796899E-2</v>
      </c>
      <c r="U283" s="1">
        <v>3.7665269572317999</v>
      </c>
      <c r="V283" s="1">
        <v>0.38050369410919499</v>
      </c>
      <c r="W283" s="7">
        <v>0.28093625245459503</v>
      </c>
      <c r="X283" s="6">
        <f>IF(W283&lt;=-0.65,-1,IF(W283&gt;=0.65,ROUND(W283,0),0))</f>
        <v>0</v>
      </c>
    </row>
    <row r="284" spans="1:24" x14ac:dyDescent="0.2">
      <c r="A284">
        <v>649</v>
      </c>
      <c r="B284" s="4">
        <v>1488406.63</v>
      </c>
      <c r="C284" s="9">
        <f>B284/12</f>
        <v>124033.88583333332</v>
      </c>
      <c r="D284" s="4">
        <v>75592.36</v>
      </c>
      <c r="E284" s="4">
        <v>6299.3633333333337</v>
      </c>
      <c r="F284" s="5">
        <v>46422</v>
      </c>
      <c r="G284" t="s">
        <v>136</v>
      </c>
      <c r="H284" t="s">
        <v>33</v>
      </c>
      <c r="I284" t="s">
        <v>207</v>
      </c>
      <c r="J284" t="s">
        <v>309</v>
      </c>
      <c r="K284" s="10">
        <f>F284/(Q284*174*12)</f>
        <v>8.8053869499241166</v>
      </c>
      <c r="L284" s="3">
        <v>32.062527034595703</v>
      </c>
      <c r="M284" s="2">
        <v>0.83090399832470496</v>
      </c>
      <c r="N284" s="1">
        <v>0.78160919540229901</v>
      </c>
      <c r="O284" s="1">
        <v>1.74329501915709</v>
      </c>
      <c r="P284" s="1">
        <v>0</v>
      </c>
      <c r="Q284" s="19">
        <v>2.5249042145593901</v>
      </c>
      <c r="R284" s="1">
        <v>0.40996168582375497</v>
      </c>
      <c r="S284" s="16">
        <f>Q284+R284</f>
        <v>2.9348659003831452</v>
      </c>
      <c r="T284" s="1">
        <v>6.5134099616858204E-2</v>
      </c>
      <c r="U284" s="1">
        <v>3.41630125258621</v>
      </c>
      <c r="V284" s="1">
        <v>-0.89139703802682002</v>
      </c>
      <c r="W284" s="7">
        <v>-0.78913513216133602</v>
      </c>
      <c r="X284" s="6">
        <f>IF(W284&lt;=-0.65,-1,IF(W284&gt;=0.65,ROUND(W284,0),0))</f>
        <v>-1</v>
      </c>
    </row>
    <row r="285" spans="1:24" x14ac:dyDescent="0.2">
      <c r="A285">
        <v>661</v>
      </c>
      <c r="B285" s="4">
        <v>816406.79</v>
      </c>
      <c r="C285" s="9">
        <f>B285/12</f>
        <v>68033.89916666667</v>
      </c>
      <c r="D285" s="4">
        <v>40953.71</v>
      </c>
      <c r="E285" s="4">
        <v>3412.8091666666664</v>
      </c>
      <c r="F285" s="5">
        <v>16611</v>
      </c>
      <c r="G285" t="s">
        <v>208</v>
      </c>
      <c r="H285" t="s">
        <v>37</v>
      </c>
      <c r="I285" t="s">
        <v>216</v>
      </c>
      <c r="J285" t="s">
        <v>316</v>
      </c>
      <c r="K285" s="10">
        <f>F285/(Q285*174*12)</f>
        <v>4.2611428204963744</v>
      </c>
      <c r="L285" s="3">
        <v>49.148563602432098</v>
      </c>
      <c r="M285" s="2">
        <v>0.87505778828713598</v>
      </c>
      <c r="N285" s="1">
        <v>0.82495210727969404</v>
      </c>
      <c r="O285" s="1">
        <v>0.14176245210728</v>
      </c>
      <c r="P285" s="1">
        <v>0.90026340996168597</v>
      </c>
      <c r="Q285" s="19">
        <v>1.8669779693486599</v>
      </c>
      <c r="R285" s="1">
        <v>0.32746647509578503</v>
      </c>
      <c r="S285" s="16">
        <f>Q285+R285</f>
        <v>2.1944444444444451</v>
      </c>
      <c r="T285" s="1">
        <v>0.28687739463601503</v>
      </c>
      <c r="U285" s="1">
        <v>1.1178996158046</v>
      </c>
      <c r="V285" s="1">
        <v>0.74907835354406105</v>
      </c>
      <c r="W285" s="7">
        <v>0</v>
      </c>
      <c r="X285" s="6">
        <f>IF(W285&lt;=-0.65,-1,IF(W285&gt;=0.65,ROUND(W285,0),0))</f>
        <v>0</v>
      </c>
    </row>
    <row r="286" spans="1:24" x14ac:dyDescent="0.2">
      <c r="A286">
        <v>663</v>
      </c>
      <c r="B286" s="4">
        <v>419088.24</v>
      </c>
      <c r="C286" s="9">
        <f>B286/12</f>
        <v>34924.019999999997</v>
      </c>
      <c r="D286" s="4">
        <v>32204.73</v>
      </c>
      <c r="E286" s="4">
        <v>2683.7275</v>
      </c>
      <c r="F286" s="5">
        <v>17066</v>
      </c>
      <c r="G286" t="s">
        <v>270</v>
      </c>
      <c r="H286" t="s">
        <v>49</v>
      </c>
      <c r="I286" t="s">
        <v>292</v>
      </c>
      <c r="J286" t="s">
        <v>292</v>
      </c>
      <c r="K286" s="10">
        <f>F286/(Q286*174*12)</f>
        <v>8.5212832355511186</v>
      </c>
      <c r="L286" s="3">
        <v>24.5569108168288</v>
      </c>
      <c r="M286" s="2">
        <v>0.70605920605169004</v>
      </c>
      <c r="N286" s="1">
        <v>0.85320881226053602</v>
      </c>
      <c r="O286" s="1">
        <v>0.10596264367816099</v>
      </c>
      <c r="P286" s="1">
        <v>0</v>
      </c>
      <c r="Q286" s="19">
        <v>0.95917145593869702</v>
      </c>
      <c r="R286" s="1">
        <v>0.12931034482758599</v>
      </c>
      <c r="S286" s="16">
        <f>Q286+R286</f>
        <v>1.0884818007662831</v>
      </c>
      <c r="T286" s="1">
        <v>0.118414750957854</v>
      </c>
      <c r="U286" s="1">
        <v>1.21206034042146</v>
      </c>
      <c r="V286" s="1">
        <v>-0.25288888448275898</v>
      </c>
      <c r="W286" s="7">
        <v>-5.8311796824679997E-2</v>
      </c>
      <c r="X286" s="6">
        <f>IF(W286&lt;=-0.65,-1,IF(W286&gt;=0.65,ROUND(W286,0),0))</f>
        <v>0</v>
      </c>
    </row>
    <row r="287" spans="1:24" x14ac:dyDescent="0.2">
      <c r="A287">
        <v>664</v>
      </c>
      <c r="B287" s="4">
        <v>1035234.78</v>
      </c>
      <c r="C287" s="9">
        <f>B287/12</f>
        <v>86269.565000000002</v>
      </c>
      <c r="D287" s="4">
        <v>55899.4</v>
      </c>
      <c r="E287" s="4">
        <v>4658.2833333333338</v>
      </c>
      <c r="F287" s="5">
        <v>39834</v>
      </c>
      <c r="G287" t="s">
        <v>208</v>
      </c>
      <c r="H287" t="s">
        <v>43</v>
      </c>
      <c r="I287" t="s">
        <v>219</v>
      </c>
      <c r="J287" t="s">
        <v>372</v>
      </c>
      <c r="K287" s="10">
        <f>F287/(Q287*174*12)</f>
        <v>5.7434936197822761</v>
      </c>
      <c r="L287" s="3">
        <v>25.988722699201698</v>
      </c>
      <c r="M287" s="2">
        <v>0.74323190725875699</v>
      </c>
      <c r="N287" s="1">
        <v>0.21455938697318</v>
      </c>
      <c r="O287" s="1">
        <v>1.8496168582375501</v>
      </c>
      <c r="P287" s="1">
        <v>1.2574233716475101</v>
      </c>
      <c r="Q287" s="19">
        <v>3.32159961685824</v>
      </c>
      <c r="R287" s="1">
        <v>0.98371647509578497</v>
      </c>
      <c r="S287" s="16">
        <f>Q287+R287</f>
        <v>4.3053160919540252</v>
      </c>
      <c r="T287" s="1">
        <v>7.6867816091954005E-2</v>
      </c>
      <c r="U287" s="1">
        <v>2.6807785982758601</v>
      </c>
      <c r="V287" s="1">
        <v>0.64082101858237595</v>
      </c>
      <c r="W287" s="7">
        <v>0.36820831971171403</v>
      </c>
      <c r="X287" s="6">
        <f>IF(W287&lt;=-0.65,-1,IF(W287&gt;=0.65,ROUND(W287,0),0))</f>
        <v>0</v>
      </c>
    </row>
    <row r="289" spans="6:19" x14ac:dyDescent="0.2">
      <c r="F289" s="5"/>
      <c r="S289" s="1"/>
    </row>
  </sheetData>
  <autoFilter ref="A1:X287">
    <sortState xmlns:xlrd2="http://schemas.microsoft.com/office/spreadsheetml/2017/richdata2" ref="A2:X287">
      <sortCondition ref="A1:A287"/>
    </sortState>
  </autoFilter>
  <conditionalFormatting sqref="F2:F287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2021-12-09T07:46:17Z</dcterms:created>
  <dcterms:modified xsi:type="dcterms:W3CDTF">2021-12-12T16:07:02Z</dcterms:modified>
</cp:coreProperties>
</file>