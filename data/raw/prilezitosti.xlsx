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13_ncr:1_{D153A376-A586-F740-B357-4B13CD851412}" xr6:coauthVersionLast="47" xr6:coauthVersionMax="47" xr10:uidLastSave="{00000000-0000-0000-0000-000000000000}"/>
  <bookViews>
    <workbookView xWindow="0" yWindow="500" windowWidth="38400" windowHeight="19460" activeTab="2" xr2:uid="{00000000-000D-0000-FFFF-FFFF00000000}"/>
  </bookViews>
  <sheets>
    <sheet name="177" sheetId="1" r:id="rId1"/>
    <sheet name="25" sheetId="2" r:id="rId2"/>
    <sheet name="25v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E2" i="3"/>
  <c r="G2" i="3"/>
  <c r="K2" i="3"/>
  <c r="I2" i="3"/>
  <c r="Q18" i="3"/>
  <c r="C27" i="3" l="1"/>
  <c r="D27" i="3"/>
  <c r="E27" i="3"/>
  <c r="F27" i="3"/>
  <c r="G27" i="3"/>
  <c r="H27" i="3"/>
  <c r="B27" i="3"/>
  <c r="AD44" i="3"/>
  <c r="S44" i="3"/>
  <c r="T44" i="3"/>
  <c r="U44" i="3"/>
  <c r="V44" i="3"/>
  <c r="W44" i="3"/>
  <c r="X44" i="3"/>
  <c r="Y44" i="3"/>
  <c r="Z44" i="3"/>
  <c r="AA44" i="3"/>
  <c r="AB44" i="3"/>
  <c r="AC44" i="3"/>
  <c r="Q6" i="3"/>
  <c r="Q7" i="3"/>
  <c r="Q8" i="3"/>
  <c r="Q9" i="3"/>
  <c r="Q10" i="3"/>
  <c r="Q11" i="3"/>
  <c r="Q12" i="3"/>
  <c r="Q13" i="3"/>
  <c r="Q14" i="3"/>
  <c r="Q15" i="3"/>
  <c r="Q16" i="3"/>
  <c r="Q5" i="3"/>
  <c r="H25" i="3"/>
  <c r="G25" i="3"/>
  <c r="F25" i="3"/>
  <c r="E25" i="3"/>
  <c r="D25" i="3"/>
  <c r="C25" i="3"/>
  <c r="B25" i="3"/>
  <c r="AF37" i="3"/>
  <c r="AF38" i="3"/>
  <c r="AF39" i="3"/>
  <c r="AF40" i="3"/>
  <c r="AF41" i="3"/>
  <c r="AF42" i="3"/>
  <c r="AF36" i="3"/>
  <c r="I24" i="3"/>
  <c r="I23" i="3"/>
  <c r="R16" i="3"/>
  <c r="R15" i="3"/>
  <c r="R14" i="3"/>
  <c r="R13" i="3"/>
  <c r="R12" i="3"/>
  <c r="R11" i="3"/>
  <c r="R10" i="3"/>
  <c r="R9" i="3"/>
  <c r="R8" i="3"/>
  <c r="R7" i="3"/>
  <c r="R6" i="3"/>
  <c r="R5" i="3"/>
  <c r="C52" i="3"/>
  <c r="D52" i="3"/>
  <c r="E52" i="3"/>
  <c r="F52" i="3"/>
  <c r="G52" i="3"/>
  <c r="H52" i="3"/>
  <c r="I52" i="3"/>
  <c r="J52" i="3"/>
  <c r="K52" i="3"/>
  <c r="L52" i="3"/>
  <c r="M52" i="3"/>
  <c r="B52" i="3"/>
  <c r="C51" i="3"/>
  <c r="D51" i="3"/>
  <c r="E51" i="3"/>
  <c r="F51" i="3"/>
  <c r="G51" i="3"/>
  <c r="H51" i="3"/>
  <c r="I51" i="3"/>
  <c r="J51" i="3"/>
  <c r="K51" i="3"/>
  <c r="L51" i="3"/>
  <c r="M51" i="3"/>
  <c r="B51" i="3"/>
  <c r="C50" i="3"/>
  <c r="D50" i="3"/>
  <c r="E50" i="3"/>
  <c r="F50" i="3"/>
  <c r="G50" i="3"/>
  <c r="H50" i="3"/>
  <c r="I50" i="3"/>
  <c r="J50" i="3"/>
  <c r="K50" i="3"/>
  <c r="L50" i="3"/>
  <c r="M50" i="3"/>
  <c r="B50" i="3"/>
  <c r="C49" i="3"/>
  <c r="D49" i="3"/>
  <c r="E49" i="3"/>
  <c r="F49" i="3"/>
  <c r="G49" i="3"/>
  <c r="H49" i="3"/>
  <c r="I49" i="3"/>
  <c r="J49" i="3"/>
  <c r="K49" i="3"/>
  <c r="L49" i="3"/>
  <c r="M49" i="3"/>
  <c r="B49" i="3"/>
  <c r="C48" i="3"/>
  <c r="D48" i="3"/>
  <c r="E48" i="3"/>
  <c r="F48" i="3"/>
  <c r="G48" i="3"/>
  <c r="H48" i="3"/>
  <c r="I48" i="3"/>
  <c r="J48" i="3"/>
  <c r="K48" i="3"/>
  <c r="L48" i="3"/>
  <c r="M48" i="3"/>
  <c r="B48" i="3"/>
  <c r="C47" i="3"/>
  <c r="D47" i="3"/>
  <c r="E47" i="3"/>
  <c r="F47" i="3"/>
  <c r="G47" i="3"/>
  <c r="H47" i="3"/>
  <c r="I47" i="3"/>
  <c r="J47" i="3"/>
  <c r="K47" i="3"/>
  <c r="L47" i="3"/>
  <c r="M47" i="3"/>
  <c r="B47" i="3"/>
  <c r="M46" i="3"/>
  <c r="M54" i="3" s="1"/>
  <c r="L46" i="3"/>
  <c r="L54" i="3" s="1"/>
  <c r="K46" i="3"/>
  <c r="K54" i="3" s="1"/>
  <c r="J46" i="3"/>
  <c r="J54" i="3" s="1"/>
  <c r="I46" i="3"/>
  <c r="I54" i="3" s="1"/>
  <c r="H46" i="3"/>
  <c r="H54" i="3" s="1"/>
  <c r="G46" i="3"/>
  <c r="G54" i="3" s="1"/>
  <c r="F46" i="3"/>
  <c r="F54" i="3" s="1"/>
  <c r="E46" i="3"/>
  <c r="E54" i="3" s="1"/>
  <c r="D46" i="3"/>
  <c r="D54" i="3" s="1"/>
  <c r="C46" i="3"/>
  <c r="C54" i="3" s="1"/>
  <c r="B46" i="3"/>
  <c r="Q5" i="2"/>
  <c r="R5" i="2" s="1"/>
  <c r="AF6" i="2"/>
  <c r="AF7" i="2"/>
  <c r="AF8" i="2"/>
  <c r="AF9" i="2"/>
  <c r="AF10" i="2"/>
  <c r="AF11" i="2"/>
  <c r="AF12" i="2"/>
  <c r="AF13" i="2"/>
  <c r="AF14" i="2"/>
  <c r="AF15" i="2"/>
  <c r="AF16" i="2"/>
  <c r="AF5" i="2"/>
  <c r="AF20" i="2"/>
  <c r="AF19" i="2"/>
  <c r="N49" i="2"/>
  <c r="O49" i="2" s="1"/>
  <c r="N47" i="2"/>
  <c r="R6" i="2"/>
  <c r="R7" i="2"/>
  <c r="R8" i="2"/>
  <c r="R9" i="2"/>
  <c r="R10" i="2"/>
  <c r="R11" i="2"/>
  <c r="R12" i="2"/>
  <c r="R13" i="2"/>
  <c r="R14" i="2"/>
  <c r="R15" i="2"/>
  <c r="R16" i="2"/>
  <c r="Q6" i="2"/>
  <c r="Q7" i="2"/>
  <c r="Q8" i="2"/>
  <c r="Q9" i="2"/>
  <c r="Q10" i="2"/>
  <c r="Q11" i="2"/>
  <c r="Q12" i="2"/>
  <c r="Q13" i="2"/>
  <c r="Q14" i="2"/>
  <c r="Q15" i="2"/>
  <c r="Q16" i="2"/>
  <c r="C47" i="2"/>
  <c r="D47" i="2"/>
  <c r="E47" i="2"/>
  <c r="F47" i="2"/>
  <c r="G47" i="2"/>
  <c r="H47" i="2"/>
  <c r="I47" i="2"/>
  <c r="J47" i="2"/>
  <c r="K47" i="2"/>
  <c r="L47" i="2"/>
  <c r="M47" i="2"/>
  <c r="B47" i="2"/>
  <c r="C95" i="1"/>
  <c r="D95" i="1"/>
  <c r="E95" i="1"/>
  <c r="F95" i="1"/>
  <c r="G95" i="1"/>
  <c r="B95" i="1"/>
  <c r="AF36" i="2"/>
  <c r="AF35" i="2"/>
  <c r="AF34" i="2"/>
  <c r="AF33" i="2"/>
  <c r="AF32" i="2"/>
  <c r="C42" i="2"/>
  <c r="D42" i="2"/>
  <c r="E42" i="2"/>
  <c r="F42" i="2"/>
  <c r="G42" i="2"/>
  <c r="H42" i="2"/>
  <c r="I42" i="2"/>
  <c r="J42" i="2"/>
  <c r="K42" i="2"/>
  <c r="L42" i="2"/>
  <c r="M42" i="2"/>
  <c r="C43" i="2"/>
  <c r="D43" i="2"/>
  <c r="E43" i="2"/>
  <c r="F43" i="2"/>
  <c r="G43" i="2"/>
  <c r="H43" i="2"/>
  <c r="I43" i="2"/>
  <c r="J43" i="2"/>
  <c r="K43" i="2"/>
  <c r="L43" i="2"/>
  <c r="M43" i="2"/>
  <c r="C44" i="2"/>
  <c r="D44" i="2"/>
  <c r="E44" i="2"/>
  <c r="F44" i="2"/>
  <c r="G44" i="2"/>
  <c r="H44" i="2"/>
  <c r="I44" i="2"/>
  <c r="J44" i="2"/>
  <c r="K44" i="2"/>
  <c r="L44" i="2"/>
  <c r="M44" i="2"/>
  <c r="C45" i="2"/>
  <c r="D45" i="2"/>
  <c r="E45" i="2"/>
  <c r="F45" i="2"/>
  <c r="G45" i="2"/>
  <c r="H45" i="2"/>
  <c r="I45" i="2"/>
  <c r="J45" i="2"/>
  <c r="K45" i="2"/>
  <c r="L45" i="2"/>
  <c r="M45" i="2"/>
  <c r="C46" i="2"/>
  <c r="D46" i="2"/>
  <c r="E46" i="2"/>
  <c r="F46" i="2"/>
  <c r="G46" i="2"/>
  <c r="H46" i="2"/>
  <c r="I46" i="2"/>
  <c r="J46" i="2"/>
  <c r="K46" i="2"/>
  <c r="L46" i="2"/>
  <c r="M46" i="2"/>
  <c r="B46" i="2"/>
  <c r="N46" i="2" s="1"/>
  <c r="B45" i="2"/>
  <c r="N45" i="2" s="1"/>
  <c r="B44" i="2"/>
  <c r="N44" i="2" s="1"/>
  <c r="B43" i="2"/>
  <c r="N43" i="2" s="1"/>
  <c r="B42" i="2"/>
  <c r="N42" i="2" s="1"/>
  <c r="AH117" i="1"/>
  <c r="AH118" i="1"/>
  <c r="AH119" i="1"/>
  <c r="AH120" i="1"/>
  <c r="AH121" i="1"/>
  <c r="AH116" i="1"/>
  <c r="J90" i="1"/>
  <c r="K92" i="1"/>
  <c r="J92" i="1"/>
  <c r="P121" i="1"/>
  <c r="G122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O120" i="1"/>
  <c r="N120" i="1"/>
  <c r="M120" i="1"/>
  <c r="L120" i="1"/>
  <c r="K120" i="1"/>
  <c r="J120" i="1"/>
  <c r="I120" i="1"/>
  <c r="H120" i="1"/>
  <c r="G120" i="1"/>
  <c r="F120" i="1"/>
  <c r="E120" i="1"/>
  <c r="P120" i="1" s="1"/>
  <c r="D120" i="1"/>
  <c r="E119" i="1"/>
  <c r="F119" i="1"/>
  <c r="G119" i="1"/>
  <c r="H119" i="1"/>
  <c r="I119" i="1"/>
  <c r="J119" i="1"/>
  <c r="K119" i="1"/>
  <c r="L119" i="1"/>
  <c r="M119" i="1"/>
  <c r="N119" i="1"/>
  <c r="O119" i="1"/>
  <c r="D119" i="1"/>
  <c r="P119" i="1" s="1"/>
  <c r="E118" i="1"/>
  <c r="F118" i="1"/>
  <c r="G118" i="1"/>
  <c r="H118" i="1"/>
  <c r="I118" i="1"/>
  <c r="J118" i="1"/>
  <c r="K118" i="1"/>
  <c r="L118" i="1"/>
  <c r="M118" i="1"/>
  <c r="N118" i="1"/>
  <c r="O118" i="1"/>
  <c r="D118" i="1"/>
  <c r="P118" i="1" s="1"/>
  <c r="E117" i="1"/>
  <c r="F117" i="1"/>
  <c r="G117" i="1"/>
  <c r="P117" i="1" s="1"/>
  <c r="H117" i="1"/>
  <c r="I117" i="1"/>
  <c r="J117" i="1"/>
  <c r="K117" i="1"/>
  <c r="L117" i="1"/>
  <c r="M117" i="1"/>
  <c r="N117" i="1"/>
  <c r="O117" i="1"/>
  <c r="D117" i="1"/>
  <c r="E116" i="1"/>
  <c r="E122" i="1" s="1"/>
  <c r="F116" i="1"/>
  <c r="F122" i="1" s="1"/>
  <c r="G116" i="1"/>
  <c r="H116" i="1"/>
  <c r="H122" i="1" s="1"/>
  <c r="I116" i="1"/>
  <c r="I122" i="1" s="1"/>
  <c r="J116" i="1"/>
  <c r="J122" i="1" s="1"/>
  <c r="K116" i="1"/>
  <c r="K122" i="1" s="1"/>
  <c r="L116" i="1"/>
  <c r="L122" i="1" s="1"/>
  <c r="M116" i="1"/>
  <c r="M122" i="1" s="1"/>
  <c r="N116" i="1"/>
  <c r="N122" i="1" s="1"/>
  <c r="O116" i="1"/>
  <c r="O122" i="1" s="1"/>
  <c r="D116" i="1"/>
  <c r="P116" i="1" s="1"/>
  <c r="L90" i="1"/>
  <c r="H90" i="1"/>
  <c r="F90" i="1"/>
  <c r="D90" i="1"/>
  <c r="B90" i="1"/>
  <c r="B54" i="3" l="1"/>
  <c r="I25" i="3"/>
  <c r="N52" i="3"/>
  <c r="N51" i="3"/>
  <c r="N46" i="3"/>
  <c r="N59" i="3" s="1"/>
  <c r="N50" i="3"/>
  <c r="N49" i="3"/>
  <c r="N48" i="3"/>
  <c r="N47" i="3"/>
  <c r="D122" i="1"/>
  <c r="N54" i="3" l="1"/>
</calcChain>
</file>

<file path=xl/sharedStrings.xml><?xml version="1.0" encoding="utf-8"?>
<sst xmlns="http://schemas.openxmlformats.org/spreadsheetml/2006/main" count="99" uniqueCount="22">
  <si>
    <t>dr_max_25</t>
  </si>
  <si>
    <t>dr_max_72</t>
  </si>
  <si>
    <t>stvrtok</t>
  </si>
  <si>
    <t>piatok</t>
  </si>
  <si>
    <t>pondelok</t>
  </si>
  <si>
    <t>utorok</t>
  </si>
  <si>
    <t>streda</t>
  </si>
  <si>
    <t>strvtok</t>
  </si>
  <si>
    <t>sobota</t>
  </si>
  <si>
    <t>štrvtok</t>
  </si>
  <si>
    <t>stv</t>
  </si>
  <si>
    <t>pia</t>
  </si>
  <si>
    <t>max</t>
  </si>
  <si>
    <t>kauf</t>
  </si>
  <si>
    <t>nedeľa</t>
  </si>
  <si>
    <t>štvrtok</t>
  </si>
  <si>
    <t>spolu</t>
  </si>
  <si>
    <t>nedela</t>
  </si>
  <si>
    <t>laborant 12</t>
  </si>
  <si>
    <t>farmaceut 12</t>
  </si>
  <si>
    <t>farmaceut 8</t>
  </si>
  <si>
    <t>laborant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</si>
</sst>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0.0"/>
    <numFmt numFmtId="166" formatCode="0.0%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595959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PT Serif"/>
      <charset val="204"/>
    </font>
    <font>
      <sz val="8"/>
      <color theme="1" tint="0.34998626667073579"/>
      <name val="PT Serif"/>
      <charset val="204"/>
    </font>
    <font>
      <sz val="8"/>
      <color theme="1"/>
      <name val="PT Serif"/>
      <charset val="204"/>
    </font>
    <font>
      <sz val="6"/>
      <color theme="1"/>
      <name val="PT Serif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10" xfId="0" applyBorder="1"/>
    <xf numFmtId="0" fontId="0" fillId="0" borderId="0" xfId="0" applyBorder="1"/>
    <xf numFmtId="0" fontId="0" fillId="0" borderId="11" xfId="0" applyBorder="1"/>
    <xf numFmtId="9" fontId="0" fillId="0" borderId="0" xfId="1" applyFont="1"/>
    <xf numFmtId="0" fontId="0" fillId="0" borderId="0" xfId="0" applyFill="1" applyBorder="1"/>
    <xf numFmtId="0" fontId="0" fillId="0" borderId="0" xfId="0" applyAlignment="1">
      <alignment horizontal="center" vertical="center"/>
    </xf>
    <xf numFmtId="9" fontId="0" fillId="0" borderId="0" xfId="0" applyNumberFormat="1"/>
    <xf numFmtId="0" fontId="18" fillId="0" borderId="0" xfId="0" applyFont="1" applyBorder="1" applyAlignment="1">
      <alignment horizontal="center"/>
    </xf>
    <xf numFmtId="0" fontId="18" fillId="0" borderId="0" xfId="0" applyFont="1"/>
    <xf numFmtId="164" fontId="0" fillId="0" borderId="0" xfId="0" applyNumberFormat="1"/>
    <xf numFmtId="9" fontId="0" fillId="0" borderId="10" xfId="1" applyFont="1" applyBorder="1"/>
    <xf numFmtId="9" fontId="0" fillId="0" borderId="0" xfId="1" applyFont="1" applyBorder="1"/>
    <xf numFmtId="9" fontId="0" fillId="0" borderId="11" xfId="1" applyFont="1" applyBorder="1"/>
    <xf numFmtId="0" fontId="19" fillId="0" borderId="0" xfId="0" applyFont="1" applyAlignment="1">
      <alignment horizontal="center" vertical="center" readingOrder="1"/>
    </xf>
    <xf numFmtId="0" fontId="20" fillId="0" borderId="0" xfId="0" applyFont="1"/>
    <xf numFmtId="10" fontId="0" fillId="0" borderId="0" xfId="1" applyNumberFormat="1" applyFont="1"/>
    <xf numFmtId="10" fontId="0" fillId="0" borderId="0" xfId="0" applyNumberFormat="1"/>
    <xf numFmtId="165" fontId="21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14" fillId="0" borderId="0" xfId="0" applyFont="1"/>
    <xf numFmtId="2" fontId="24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166" fontId="0" fillId="0" borderId="0" xfId="1" applyNumberFormat="1" applyFont="1"/>
    <xf numFmtId="0" fontId="23" fillId="0" borderId="0" xfId="0" applyFont="1"/>
    <xf numFmtId="0" fontId="23" fillId="0" borderId="0" xfId="0" applyFont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11" xfId="0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B7FFE3"/>
      <color rgb="FFBE3F15"/>
      <color rgb="FF941100"/>
      <color rgb="FFFFABAD"/>
      <color rgb="FF58B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Tesco</a:t>
            </a:r>
            <a:r>
              <a:rPr lang="en-GB" sz="2000" b="1" baseline="0"/>
              <a:t> vs 177</a:t>
            </a:r>
            <a:endParaRPr lang="en-GB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tesco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'177'!$A$74:$A$89</c:f>
              <c:numCache>
                <c:formatCode>General</c:formatCode>
                <c:ptCount val="1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'177'!$K$74:$K$89</c:f>
              <c:numCache>
                <c:formatCode>0%</c:formatCode>
                <c:ptCount val="16"/>
                <c:pt idx="0">
                  <c:v>0.11480362537764301</c:v>
                </c:pt>
                <c:pt idx="1">
                  <c:v>0.21752265861027101</c:v>
                </c:pt>
                <c:pt idx="2">
                  <c:v>0.36858006042295999</c:v>
                </c:pt>
                <c:pt idx="3">
                  <c:v>0.51661631419939502</c:v>
                </c:pt>
                <c:pt idx="4">
                  <c:v>0.65558912386706902</c:v>
                </c:pt>
                <c:pt idx="5">
                  <c:v>0.70694864048338302</c:v>
                </c:pt>
                <c:pt idx="6">
                  <c:v>0.71601208459214405</c:v>
                </c:pt>
                <c:pt idx="7">
                  <c:v>0.73111782477341303</c:v>
                </c:pt>
                <c:pt idx="8">
                  <c:v>0.77341389728096599</c:v>
                </c:pt>
                <c:pt idx="9">
                  <c:v>0.83685800604229599</c:v>
                </c:pt>
                <c:pt idx="10">
                  <c:v>0.90634441087613304</c:v>
                </c:pt>
                <c:pt idx="11">
                  <c:v>0.89425981873111704</c:v>
                </c:pt>
                <c:pt idx="12">
                  <c:v>0.80060422960724997</c:v>
                </c:pt>
                <c:pt idx="13">
                  <c:v>0.61027190332326198</c:v>
                </c:pt>
                <c:pt idx="14">
                  <c:v>0.39577039274924403</c:v>
                </c:pt>
                <c:pt idx="15">
                  <c:v>0.22054380664652501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F9-D74F-9556-79F82BCFB1A1}"/>
            </c:ext>
          </c:extLst>
        </c:ser>
        <c:ser>
          <c:idx val="1"/>
          <c:order val="1"/>
          <c:tx>
            <c:v>dr_max_177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'177'!$A$74:$A$89</c:f>
              <c:numCache>
                <c:formatCode>General</c:formatCode>
                <c:ptCount val="16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</c:numCache>
            </c:numRef>
          </c:cat>
          <c:val>
            <c:numRef>
              <c:f>'177'!$J$74:$J$89</c:f>
              <c:numCache>
                <c:formatCode>0%</c:formatCode>
                <c:ptCount val="16"/>
                <c:pt idx="2">
                  <c:v>4.4502617801047098E-2</c:v>
                </c:pt>
                <c:pt idx="3">
                  <c:v>0.25916230366492099</c:v>
                </c:pt>
                <c:pt idx="4">
                  <c:v>0.65183246073298395</c:v>
                </c:pt>
                <c:pt idx="5">
                  <c:v>0.649214659685863</c:v>
                </c:pt>
                <c:pt idx="6">
                  <c:v>0.38481675392670101</c:v>
                </c:pt>
                <c:pt idx="7">
                  <c:v>0.34293193717277398</c:v>
                </c:pt>
                <c:pt idx="8">
                  <c:v>0.38481675392670101</c:v>
                </c:pt>
                <c:pt idx="9">
                  <c:v>0.30104712041884801</c:v>
                </c:pt>
                <c:pt idx="10">
                  <c:v>0.206806282722512</c:v>
                </c:pt>
                <c:pt idx="11">
                  <c:v>0.34031413612565398</c:v>
                </c:pt>
                <c:pt idx="12">
                  <c:v>0.47643979057591601</c:v>
                </c:pt>
                <c:pt idx="13">
                  <c:v>0.261780104712041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BF9-D74F-9556-79F82BCF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575200"/>
        <c:axId val="462808976"/>
      </c:lineChart>
      <c:catAx>
        <c:axId val="8125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K"/>
          </a:p>
        </c:txPr>
        <c:crossAx val="462808976"/>
        <c:crosses val="autoZero"/>
        <c:auto val="1"/>
        <c:lblAlgn val="ctr"/>
        <c:lblOffset val="100"/>
        <c:noMultiLvlLbl val="0"/>
      </c:catAx>
      <c:valAx>
        <c:axId val="46280897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K"/>
          </a:p>
        </c:txPr>
        <c:crossAx val="81257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využitie potenciálu lekárne</a:t>
            </a:r>
          </a:p>
          <a:p>
            <a:pPr>
              <a:defRPr/>
            </a:pPr>
            <a:r>
              <a:rPr lang="en-GB"/>
              <a:t>po hodinách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'177'!$D$115:$O$115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'177'!$D$122:$O$122</c:f>
              <c:numCache>
                <c:formatCode>0%</c:formatCode>
                <c:ptCount val="12"/>
                <c:pt idx="0">
                  <c:v>0.37963594743074675</c:v>
                </c:pt>
                <c:pt idx="1">
                  <c:v>0.74239130102815443</c:v>
                </c:pt>
                <c:pt idx="2">
                  <c:v>0.88843136419474933</c:v>
                </c:pt>
                <c:pt idx="3">
                  <c:v>0.75703698757780147</c:v>
                </c:pt>
                <c:pt idx="4">
                  <c:v>0.60286164594192093</c:v>
                </c:pt>
                <c:pt idx="5">
                  <c:v>0.65918252485346907</c:v>
                </c:pt>
                <c:pt idx="6">
                  <c:v>0.58669987173563254</c:v>
                </c:pt>
                <c:pt idx="7">
                  <c:v>0.40976646006730522</c:v>
                </c:pt>
                <c:pt idx="8">
                  <c:v>0.35225527517568905</c:v>
                </c:pt>
                <c:pt idx="9">
                  <c:v>0.38026977593043876</c:v>
                </c:pt>
                <c:pt idx="10">
                  <c:v>0.44275469075981072</c:v>
                </c:pt>
                <c:pt idx="11">
                  <c:v>0.33607393688772408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C-4D49-A457-1BA4283E9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627216"/>
        <c:axId val="465146976"/>
      </c:barChart>
      <c:catAx>
        <c:axId val="4896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K"/>
          </a:p>
        </c:txPr>
        <c:crossAx val="465146976"/>
        <c:crosses val="autoZero"/>
        <c:auto val="1"/>
        <c:lblAlgn val="ctr"/>
        <c:lblOffset val="100"/>
        <c:noMultiLvlLbl val="0"/>
      </c:catAx>
      <c:valAx>
        <c:axId val="4651469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896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využitie potenciálu lekárne </a:t>
            </a:r>
          </a:p>
          <a:p>
            <a:pPr>
              <a:defRPr/>
            </a:pPr>
            <a:r>
              <a:rPr lang="en-GB"/>
              <a:t>po</a:t>
            </a:r>
            <a:r>
              <a:rPr lang="en-GB" baseline="0"/>
              <a:t> dňoch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324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'177'!$A$116:$A$121</c:f>
              <c:strCache>
                <c:ptCount val="6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</c:strCache>
            </c:strRef>
          </c:cat>
          <c:val>
            <c:numRef>
              <c:f>'177'!$P$116:$P$121</c:f>
              <c:numCache>
                <c:formatCode>0%</c:formatCode>
                <c:ptCount val="6"/>
                <c:pt idx="0">
                  <c:v>0.61449496408106785</c:v>
                </c:pt>
                <c:pt idx="1">
                  <c:v>0.65839304610437122</c:v>
                </c:pt>
                <c:pt idx="2">
                  <c:v>0.54711983994172886</c:v>
                </c:pt>
                <c:pt idx="3">
                  <c:v>0.65908772384562653</c:v>
                </c:pt>
                <c:pt idx="4">
                  <c:v>0.50263095848398731</c:v>
                </c:pt>
                <c:pt idx="5">
                  <c:v>0.28695335833493901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F6-F24A-B6DD-898C2979F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494725744"/>
        <c:axId val="494723728"/>
      </c:barChart>
      <c:catAx>
        <c:axId val="49472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K"/>
          </a:p>
        </c:txPr>
        <c:crossAx val="494723728"/>
        <c:crosses val="autoZero"/>
        <c:auto val="1"/>
        <c:lblAlgn val="ctr"/>
        <c:lblOffset val="100"/>
        <c:noMultiLvlLbl val="0"/>
      </c:catAx>
      <c:valAx>
        <c:axId val="4947237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9472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odhad návštevnosti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dr.max 177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'177'!$A$116:$A$121</c:f>
              <c:strCache>
                <c:ptCount val="6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</c:strCache>
            </c:strRef>
          </c:cat>
          <c:val>
            <c:numRef>
              <c:f>'177'!$B$93:$G$93</c:f>
              <c:numCache>
                <c:formatCode>General</c:formatCode>
                <c:ptCount val="6"/>
                <c:pt idx="0">
                  <c:v>4.03</c:v>
                </c:pt>
                <c:pt idx="1">
                  <c:v>4.74</c:v>
                </c:pt>
                <c:pt idx="2">
                  <c:v>3.16</c:v>
                </c:pt>
                <c:pt idx="3">
                  <c:v>5.08</c:v>
                </c:pt>
                <c:pt idx="4">
                  <c:v>4.1500000000000004</c:v>
                </c:pt>
                <c:pt idx="5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F-6D44-9B20-2AD389F56135}"/>
            </c:ext>
          </c:extLst>
        </c:ser>
        <c:ser>
          <c:idx val="1"/>
          <c:order val="1"/>
          <c:tx>
            <c:v>tesco</c:v>
          </c:tx>
          <c:spPr>
            <a:solidFill>
              <a:schemeClr val="accent1">
                <a:alpha val="24992"/>
              </a:schemeClr>
            </a:solidFill>
            <a:ln>
              <a:noFill/>
            </a:ln>
            <a:effectLst/>
          </c:spPr>
          <c:invertIfNegative val="0"/>
          <c:cat>
            <c:strRef>
              <c:f>'177'!$A$116:$A$121</c:f>
              <c:strCache>
                <c:ptCount val="6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</c:strCache>
            </c:strRef>
          </c:cat>
          <c:val>
            <c:numRef>
              <c:f>'177'!$B$94:$G$94</c:f>
              <c:numCache>
                <c:formatCode>General</c:formatCode>
                <c:ptCount val="6"/>
                <c:pt idx="0">
                  <c:v>6.87</c:v>
                </c:pt>
                <c:pt idx="1">
                  <c:v>7.42</c:v>
                </c:pt>
                <c:pt idx="2">
                  <c:v>5.83</c:v>
                </c:pt>
                <c:pt idx="3">
                  <c:v>7.66</c:v>
                </c:pt>
                <c:pt idx="4">
                  <c:v>8.0299999999999994</c:v>
                </c:pt>
                <c:pt idx="5">
                  <c:v>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7F-6D44-9B20-2AD389F56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641840"/>
        <c:axId val="499174224"/>
      </c:barChart>
      <c:catAx>
        <c:axId val="5086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K"/>
          </a:p>
        </c:txPr>
        <c:crossAx val="499174224"/>
        <c:crosses val="autoZero"/>
        <c:auto val="1"/>
        <c:lblAlgn val="ctr"/>
        <c:lblOffset val="100"/>
        <c:noMultiLvlLbl val="0"/>
      </c:catAx>
      <c:valAx>
        <c:axId val="499174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086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PT Serif" panose="020A0603040505020204" pitchFamily="18" charset="77"/>
              </a:rPr>
              <a:t>odhad návštevnosti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dr.max 25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'177'!$A$116:$A$121</c:f>
              <c:strCache>
                <c:ptCount val="6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</c:strCache>
            </c:strRef>
          </c:cat>
          <c:val>
            <c:numRef>
              <c:f>'25'!$B$22:$F$22</c:f>
              <c:numCache>
                <c:formatCode>General</c:formatCode>
                <c:ptCount val="5"/>
                <c:pt idx="0">
                  <c:v>3.16</c:v>
                </c:pt>
                <c:pt idx="1">
                  <c:v>3.67</c:v>
                </c:pt>
                <c:pt idx="2">
                  <c:v>3.61</c:v>
                </c:pt>
                <c:pt idx="3">
                  <c:v>4.2</c:v>
                </c:pt>
                <c:pt idx="4">
                  <c:v>4.76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2-E940-8567-DDD68D715A81}"/>
            </c:ext>
          </c:extLst>
        </c:ser>
        <c:ser>
          <c:idx val="1"/>
          <c:order val="1"/>
          <c:tx>
            <c:v>kaufland</c:v>
          </c:tx>
          <c:spPr>
            <a:solidFill>
              <a:schemeClr val="accent1">
                <a:alpha val="24992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>
                    <a:alpha val="3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'177'!$A$116:$A$121</c:f>
              <c:strCache>
                <c:ptCount val="6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</c:strCache>
            </c:strRef>
          </c:cat>
          <c:val>
            <c:numRef>
              <c:f>'25'!$B$23:$F$23</c:f>
              <c:numCache>
                <c:formatCode>General</c:formatCode>
                <c:ptCount val="5"/>
                <c:pt idx="0">
                  <c:v>7.43</c:v>
                </c:pt>
                <c:pt idx="1">
                  <c:v>7.92</c:v>
                </c:pt>
                <c:pt idx="2">
                  <c:v>6.14</c:v>
                </c:pt>
                <c:pt idx="3">
                  <c:v>8.74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22-E940-8567-DDD68D715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641840"/>
        <c:axId val="499174224"/>
      </c:barChart>
      <c:catAx>
        <c:axId val="5086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499174224"/>
        <c:crosses val="autoZero"/>
        <c:auto val="1"/>
        <c:lblAlgn val="ctr"/>
        <c:lblOffset val="100"/>
        <c:noMultiLvlLbl val="0"/>
      </c:catAx>
      <c:valAx>
        <c:axId val="499174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86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T Serif" panose="020A0603040505020204" pitchFamily="18" charset="77"/>
              <a:ea typeface="+mn-ea"/>
              <a:cs typeface="+mn-cs"/>
            </a:defRPr>
          </a:pPr>
          <a:endParaRPr lang="en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PT Serif" panose="020A0603040505020204" pitchFamily="18" charset="77"/>
              </a:rPr>
              <a:t>využitie potenciálu lekárne</a:t>
            </a:r>
          </a:p>
          <a:p>
            <a:pPr>
              <a:defRPr/>
            </a:pPr>
            <a:r>
              <a:rPr lang="en-GB">
                <a:latin typeface="PT Serif" panose="020A0603040505020204" pitchFamily="18" charset="77"/>
              </a:rPr>
              <a:t>po hodinách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'25'!$B$25:$M$25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'25'!$B$47:$M$47</c:f>
              <c:numCache>
                <c:formatCode>0%</c:formatCode>
                <c:ptCount val="12"/>
                <c:pt idx="0">
                  <c:v>0.71117996688254448</c:v>
                </c:pt>
                <c:pt idx="1">
                  <c:v>0.91091221824282909</c:v>
                </c:pt>
                <c:pt idx="2">
                  <c:v>0.94099886960009904</c:v>
                </c:pt>
                <c:pt idx="3">
                  <c:v>0.78312108202297281</c:v>
                </c:pt>
                <c:pt idx="4">
                  <c:v>0.53473842887803236</c:v>
                </c:pt>
                <c:pt idx="5">
                  <c:v>0.42131483212966747</c:v>
                </c:pt>
                <c:pt idx="6">
                  <c:v>0.35440487095111017</c:v>
                </c:pt>
                <c:pt idx="7">
                  <c:v>0.34016198694757849</c:v>
                </c:pt>
                <c:pt idx="8">
                  <c:v>0.28717352525177109</c:v>
                </c:pt>
                <c:pt idx="9">
                  <c:v>0.2482929605387259</c:v>
                </c:pt>
                <c:pt idx="10">
                  <c:v>0.26765587938063701</c:v>
                </c:pt>
                <c:pt idx="11">
                  <c:v>0.26275248006401231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51-054C-8FAB-628CE589D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9627216"/>
        <c:axId val="465146976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1">
                  <a:alpha val="7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'25'!$A$5:$A$16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'25'!$R$5:$R$16</c:f>
              <c:numCache>
                <c:formatCode>General</c:formatCode>
                <c:ptCount val="12"/>
                <c:pt idx="0">
                  <c:v>0.88617520147672413</c:v>
                </c:pt>
                <c:pt idx="1">
                  <c:v>1.1969630379266625</c:v>
                </c:pt>
                <c:pt idx="2">
                  <c:v>1.3602785745348216</c:v>
                </c:pt>
                <c:pt idx="3">
                  <c:v>1.4014880632943789</c:v>
                </c:pt>
                <c:pt idx="4">
                  <c:v>1.3730906136365733</c:v>
                </c:pt>
                <c:pt idx="5">
                  <c:v>1.399324470824812</c:v>
                </c:pt>
                <c:pt idx="6">
                  <c:v>1.4723404023674471</c:v>
                </c:pt>
                <c:pt idx="7">
                  <c:v>1.569386135193735</c:v>
                </c:pt>
                <c:pt idx="8">
                  <c:v>1.5873315660748037</c:v>
                </c:pt>
                <c:pt idx="9">
                  <c:v>1.4618311751498152</c:v>
                </c:pt>
                <c:pt idx="10">
                  <c:v>1.2053463819005574</c:v>
                </c:pt>
                <c:pt idx="11">
                  <c:v>0.87365064028424044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D51-054C-8FAB-628CE589D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627216"/>
        <c:axId val="465146976"/>
      </c:lineChart>
      <c:catAx>
        <c:axId val="4896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465146976"/>
        <c:crosses val="autoZero"/>
        <c:auto val="1"/>
        <c:lblAlgn val="ctr"/>
        <c:lblOffset val="100"/>
        <c:noMultiLvlLbl val="0"/>
      </c:catAx>
      <c:valAx>
        <c:axId val="465146976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4896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latin typeface="PT Serif" panose="020A0603040505020204" pitchFamily="18" charset="77"/>
              </a:rPr>
              <a:t>využitie potenciálu lekárne</a:t>
            </a:r>
          </a:p>
          <a:p>
            <a:pPr>
              <a:defRPr/>
            </a:pPr>
            <a:r>
              <a:rPr lang="en-GB">
                <a:latin typeface="PT Serif" panose="020A0603040505020204" pitchFamily="18" charset="77"/>
              </a:rPr>
              <a:t>po hodinách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kaufland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'25v2'!$B$29:$M$29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'25v2'!$Q$5:$Q$16</c:f>
              <c:numCache>
                <c:formatCode>0.0%</c:formatCode>
                <c:ptCount val="12"/>
                <c:pt idx="0">
                  <c:v>0.46640800077722322</c:v>
                </c:pt>
                <c:pt idx="1">
                  <c:v>0.6299805462771908</c:v>
                </c:pt>
                <c:pt idx="2">
                  <c:v>0.7159360918604325</c:v>
                </c:pt>
                <c:pt idx="3">
                  <c:v>0.73762529647072572</c:v>
                </c:pt>
                <c:pt idx="4">
                  <c:v>0.72267927033503854</c:v>
                </c:pt>
                <c:pt idx="5">
                  <c:v>0.73648656359200637</c:v>
                </c:pt>
                <c:pt idx="6">
                  <c:v>0.77491600124602489</c:v>
                </c:pt>
                <c:pt idx="7">
                  <c:v>0.82599270273354475</c:v>
                </c:pt>
                <c:pt idx="8">
                  <c:v>0.83543766635515992</c:v>
                </c:pt>
                <c:pt idx="9">
                  <c:v>0.76938482902621852</c:v>
                </c:pt>
                <c:pt idx="10">
                  <c:v>0.63439283257924073</c:v>
                </c:pt>
                <c:pt idx="11">
                  <c:v>0.45981612646538972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3B-804A-A83F-8455D5E1C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627216"/>
        <c:axId val="465146976"/>
      </c:lineChart>
      <c:catAx>
        <c:axId val="4896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465146976"/>
        <c:crosses val="autoZero"/>
        <c:auto val="1"/>
        <c:lblAlgn val="ctr"/>
        <c:lblOffset val="100"/>
        <c:noMultiLvlLbl val="0"/>
      </c:catAx>
      <c:valAx>
        <c:axId val="465146976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4896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dr.max 25</c:v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T Serif" panose="020A0603040505020204" pitchFamily="18" charset="77"/>
                    <a:ea typeface="+mn-ea"/>
                    <a:cs typeface="+mn-cs"/>
                  </a:defRPr>
                </a:pPr>
                <a:endParaRPr lang="en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'25v2'!$R$36:$R$42</c:f>
              <c:strCache>
                <c:ptCount val="7"/>
                <c:pt idx="0">
                  <c:v>pondelok</c:v>
                </c:pt>
                <c:pt idx="1">
                  <c:v>utorok</c:v>
                </c:pt>
                <c:pt idx="2">
                  <c:v>streda</c:v>
                </c:pt>
                <c:pt idx="3">
                  <c:v>štrvtok</c:v>
                </c:pt>
                <c:pt idx="4">
                  <c:v>piatok</c:v>
                </c:pt>
                <c:pt idx="5">
                  <c:v>sobota</c:v>
                </c:pt>
                <c:pt idx="6">
                  <c:v>nedeľa</c:v>
                </c:pt>
              </c:strCache>
            </c:strRef>
          </c:cat>
          <c:val>
            <c:numRef>
              <c:f>'25v2'!$B$25:$H$25</c:f>
              <c:numCache>
                <c:formatCode>0.0%</c:formatCode>
                <c:ptCount val="7"/>
                <c:pt idx="0">
                  <c:v>2.7137012113055081E-2</c:v>
                </c:pt>
                <c:pt idx="1">
                  <c:v>9.8341035353535333E-2</c:v>
                </c:pt>
                <c:pt idx="2">
                  <c:v>9.6822149837133442E-2</c:v>
                </c:pt>
                <c:pt idx="3">
                  <c:v>0.12445263157894737</c:v>
                </c:pt>
                <c:pt idx="4">
                  <c:v>7.8832666666666551E-2</c:v>
                </c:pt>
                <c:pt idx="5">
                  <c:v>0.12251749663526246</c:v>
                </c:pt>
                <c:pt idx="6">
                  <c:v>0.14276010101010106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0-5148-81A4-C8478A1E4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8641840"/>
        <c:axId val="499174224"/>
      </c:barChart>
      <c:catAx>
        <c:axId val="5086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499174224"/>
        <c:crosses val="autoZero"/>
        <c:auto val="1"/>
        <c:lblAlgn val="ctr"/>
        <c:lblOffset val="100"/>
        <c:noMultiLvlLbl val="0"/>
      </c:catAx>
      <c:valAx>
        <c:axId val="499174224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0864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886482939632541E-2"/>
          <c:y val="6.9444444444444448E-2"/>
          <c:w val="0.89655796150481193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stvrtok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'25v2'!$B$29:$M$29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'25v2'!$B$37:$M$37</c:f>
              <c:numCache>
                <c:formatCode>General</c:formatCode>
                <c:ptCount val="12"/>
                <c:pt idx="0">
                  <c:v>0.60892388451443502</c:v>
                </c:pt>
                <c:pt idx="1">
                  <c:v>0.75853018372703396</c:v>
                </c:pt>
                <c:pt idx="2">
                  <c:v>0.78477690288713897</c:v>
                </c:pt>
                <c:pt idx="3">
                  <c:v>0.78215223097112796</c:v>
                </c:pt>
                <c:pt idx="4">
                  <c:v>0.77165354330708602</c:v>
                </c:pt>
                <c:pt idx="5">
                  <c:v>0.79790026246719103</c:v>
                </c:pt>
                <c:pt idx="6">
                  <c:v>0.837270341207349</c:v>
                </c:pt>
                <c:pt idx="7">
                  <c:v>0.90288713910761098</c:v>
                </c:pt>
                <c:pt idx="8">
                  <c:v>0.94225721784776895</c:v>
                </c:pt>
                <c:pt idx="9">
                  <c:v>0.87401574803149595</c:v>
                </c:pt>
                <c:pt idx="10">
                  <c:v>0.72965879265091804</c:v>
                </c:pt>
                <c:pt idx="11">
                  <c:v>0.51706036745406803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CE4-4B47-A196-856D9A6AD189}"/>
            </c:ext>
          </c:extLst>
        </c:ser>
        <c:ser>
          <c:idx val="1"/>
          <c:order val="1"/>
          <c:tx>
            <c:v>piatok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'25v2'!$B$39:$M$39</c:f>
              <c:numCache>
                <c:formatCode>General</c:formatCode>
                <c:ptCount val="12"/>
                <c:pt idx="0">
                  <c:v>0.488188976377952</c:v>
                </c:pt>
                <c:pt idx="1">
                  <c:v>0.69291338582677098</c:v>
                </c:pt>
                <c:pt idx="2">
                  <c:v>0.83989501312335901</c:v>
                </c:pt>
                <c:pt idx="3">
                  <c:v>0.88976377952755903</c:v>
                </c:pt>
                <c:pt idx="4">
                  <c:v>0.86351706036745401</c:v>
                </c:pt>
                <c:pt idx="5">
                  <c:v>0.85039370078740095</c:v>
                </c:pt>
                <c:pt idx="6">
                  <c:v>0.87401574803149595</c:v>
                </c:pt>
                <c:pt idx="7">
                  <c:v>0.91601049868766404</c:v>
                </c:pt>
                <c:pt idx="8">
                  <c:v>0.929133858267716</c:v>
                </c:pt>
                <c:pt idx="9">
                  <c:v>0.87664041994750597</c:v>
                </c:pt>
                <c:pt idx="10">
                  <c:v>0.74540682414698101</c:v>
                </c:pt>
                <c:pt idx="11">
                  <c:v>0.55643044619422499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E4-4B47-A196-856D9A6AD189}"/>
            </c:ext>
          </c:extLst>
        </c:ser>
        <c:ser>
          <c:idx val="2"/>
          <c:order val="2"/>
          <c:tx>
            <c:v>sobota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'25v2'!$B$41:$M$41</c:f>
              <c:numCache>
                <c:formatCode>General</c:formatCode>
                <c:ptCount val="12"/>
                <c:pt idx="0">
                  <c:v>0.489304812834224</c:v>
                </c:pt>
                <c:pt idx="1">
                  <c:v>0.67112299465240599</c:v>
                </c:pt>
                <c:pt idx="2">
                  <c:v>0.82085561497326198</c:v>
                </c:pt>
                <c:pt idx="3">
                  <c:v>0.84759358288770004</c:v>
                </c:pt>
                <c:pt idx="4">
                  <c:v>0.76470588235294101</c:v>
                </c:pt>
                <c:pt idx="5">
                  <c:v>0.67647058823529405</c:v>
                </c:pt>
                <c:pt idx="6">
                  <c:v>0.60962566844919797</c:v>
                </c:pt>
                <c:pt idx="7">
                  <c:v>0.62299465240641705</c:v>
                </c:pt>
                <c:pt idx="8">
                  <c:v>0.67379679144384996</c:v>
                </c:pt>
                <c:pt idx="9">
                  <c:v>0.67379679144384996</c:v>
                </c:pt>
                <c:pt idx="10">
                  <c:v>0.59893048128342197</c:v>
                </c:pt>
                <c:pt idx="11">
                  <c:v>0.45187165775401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CE4-4B47-A196-856D9A6AD189}"/>
            </c:ext>
          </c:extLst>
        </c:ser>
        <c:ser>
          <c:idx val="3"/>
          <c:order val="3"/>
          <c:tx>
            <c:v>nedela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'25v2'!$B$43:$M$43</c:f>
              <c:numCache>
                <c:formatCode>General</c:formatCode>
                <c:ptCount val="12"/>
                <c:pt idx="0">
                  <c:v>0.33333333333333298</c:v>
                </c:pt>
                <c:pt idx="1">
                  <c:v>0.49095607235142102</c:v>
                </c:pt>
                <c:pt idx="2">
                  <c:v>0.58656330749354002</c:v>
                </c:pt>
                <c:pt idx="3">
                  <c:v>0.59689922480620095</c:v>
                </c:pt>
                <c:pt idx="4">
                  <c:v>0.55813953488372003</c:v>
                </c:pt>
                <c:pt idx="5">
                  <c:v>0.50645994832041297</c:v>
                </c:pt>
                <c:pt idx="6">
                  <c:v>0.53229974160206694</c:v>
                </c:pt>
                <c:pt idx="7">
                  <c:v>0.59948320413436595</c:v>
                </c:pt>
                <c:pt idx="8">
                  <c:v>0.63824289405684698</c:v>
                </c:pt>
                <c:pt idx="9">
                  <c:v>0.60981912144702799</c:v>
                </c:pt>
                <c:pt idx="10">
                  <c:v>0.49095607235142102</c:v>
                </c:pt>
                <c:pt idx="11">
                  <c:v>0.33333333333333298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CE4-4B47-A196-856D9A6AD189}"/>
            </c:ext>
          </c:extLst>
        </c:ser>
        <c:ser>
          <c:idx val="4"/>
          <c:order val="4"/>
          <c:tx>
            <c:v>streda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'25v2'!$B$35:$M$35</c:f>
              <c:numCache>
                <c:formatCode>General</c:formatCode>
                <c:ptCount val="12"/>
                <c:pt idx="0">
                  <c:v>0.372282608695652</c:v>
                </c:pt>
                <c:pt idx="1">
                  <c:v>0.49184782608695599</c:v>
                </c:pt>
                <c:pt idx="2">
                  <c:v>0.559782608695652</c:v>
                </c:pt>
                <c:pt idx="3">
                  <c:v>0.58423913043478204</c:v>
                </c:pt>
                <c:pt idx="4">
                  <c:v>0.55706521739130399</c:v>
                </c:pt>
                <c:pt idx="5">
                  <c:v>0.559782608695652</c:v>
                </c:pt>
                <c:pt idx="6">
                  <c:v>0.59782608695652095</c:v>
                </c:pt>
                <c:pt idx="7">
                  <c:v>0.65217391304347805</c:v>
                </c:pt>
                <c:pt idx="8">
                  <c:v>0.66304347826086896</c:v>
                </c:pt>
                <c:pt idx="9">
                  <c:v>0.61141304347826098</c:v>
                </c:pt>
                <c:pt idx="10">
                  <c:v>0.49184782608695599</c:v>
                </c:pt>
                <c:pt idx="11">
                  <c:v>0.36141304347825998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CE4-4B47-A196-856D9A6AD189}"/>
            </c:ext>
          </c:extLst>
        </c:ser>
        <c:ser>
          <c:idx val="5"/>
          <c:order val="5"/>
          <c:tx>
            <c:v>utorok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'25v2'!$B$33:$M$33</c:f>
              <c:numCache>
                <c:formatCode>General</c:formatCode>
                <c:ptCount val="12"/>
                <c:pt idx="0">
                  <c:v>0.43832020997375298</c:v>
                </c:pt>
                <c:pt idx="1">
                  <c:v>0.59580052493438296</c:v>
                </c:pt>
                <c:pt idx="2">
                  <c:v>0.70603674540682404</c:v>
                </c:pt>
                <c:pt idx="3">
                  <c:v>0.74278215223097099</c:v>
                </c:pt>
                <c:pt idx="4">
                  <c:v>0.74278215223097099</c:v>
                </c:pt>
                <c:pt idx="5">
                  <c:v>0.77165354330708602</c:v>
                </c:pt>
                <c:pt idx="6">
                  <c:v>0.79790026246719103</c:v>
                </c:pt>
                <c:pt idx="7">
                  <c:v>0.837270341207349</c:v>
                </c:pt>
                <c:pt idx="8">
                  <c:v>0.83464566929133799</c:v>
                </c:pt>
                <c:pt idx="9">
                  <c:v>0.78215223097112796</c:v>
                </c:pt>
                <c:pt idx="10">
                  <c:v>0.64829396325459299</c:v>
                </c:pt>
                <c:pt idx="11">
                  <c:v>0.47769028871391001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CE4-4B47-A196-856D9A6AD189}"/>
            </c:ext>
          </c:extLst>
        </c:ser>
        <c:ser>
          <c:idx val="6"/>
          <c:order val="6"/>
          <c:tx>
            <c:v>pondelok</c:v>
          </c:tx>
          <c:spPr>
            <a:ln w="12700" cap="rnd">
              <a:solidFill>
                <a:schemeClr val="bg1">
                  <a:lumMod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'25v2'!$B$31:$M$31</c:f>
              <c:numCache>
                <c:formatCode>General</c:formatCode>
                <c:ptCount val="12"/>
                <c:pt idx="0">
                  <c:v>0.42432432432432399</c:v>
                </c:pt>
                <c:pt idx="1">
                  <c:v>0.61081081081081001</c:v>
                </c:pt>
                <c:pt idx="2">
                  <c:v>0.68918918918918903</c:v>
                </c:pt>
                <c:pt idx="3">
                  <c:v>0.68918918918918903</c:v>
                </c:pt>
                <c:pt idx="4">
                  <c:v>0.678378378378378</c:v>
                </c:pt>
                <c:pt idx="5">
                  <c:v>0.70270270270270196</c:v>
                </c:pt>
                <c:pt idx="6">
                  <c:v>0.76756756756756706</c:v>
                </c:pt>
                <c:pt idx="7">
                  <c:v>0.821621621621621</c:v>
                </c:pt>
                <c:pt idx="8">
                  <c:v>0.80810810810810796</c:v>
                </c:pt>
                <c:pt idx="9">
                  <c:v>0.70270270270270196</c:v>
                </c:pt>
                <c:pt idx="10">
                  <c:v>0.55675675675675595</c:v>
                </c:pt>
                <c:pt idx="11">
                  <c:v>0.38648648648648598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CE4-4B47-A196-856D9A6AD189}"/>
            </c:ext>
          </c:extLst>
        </c:ser>
        <c:ser>
          <c:idx val="7"/>
          <c:order val="7"/>
          <c:tx>
            <c:v>priemer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'25v2'!$Q$5:$Q$16</c:f>
              <c:numCache>
                <c:formatCode>0.0%</c:formatCode>
                <c:ptCount val="12"/>
                <c:pt idx="0">
                  <c:v>0.46640800077722322</c:v>
                </c:pt>
                <c:pt idx="1">
                  <c:v>0.6299805462771908</c:v>
                </c:pt>
                <c:pt idx="2">
                  <c:v>0.7159360918604325</c:v>
                </c:pt>
                <c:pt idx="3">
                  <c:v>0.73762529647072572</c:v>
                </c:pt>
                <c:pt idx="4">
                  <c:v>0.72267927033503854</c:v>
                </c:pt>
                <c:pt idx="5">
                  <c:v>0.73648656359200637</c:v>
                </c:pt>
                <c:pt idx="6">
                  <c:v>0.77491600124602489</c:v>
                </c:pt>
                <c:pt idx="7">
                  <c:v>0.82599270273354475</c:v>
                </c:pt>
                <c:pt idx="8">
                  <c:v>0.83543766635515992</c:v>
                </c:pt>
                <c:pt idx="9">
                  <c:v>0.76938482902621852</c:v>
                </c:pt>
                <c:pt idx="10">
                  <c:v>0.63439283257924073</c:v>
                </c:pt>
                <c:pt idx="11">
                  <c:v>0.45981612646538972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CE4-4B47-A196-856D9A6AD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155888"/>
        <c:axId val="204234912"/>
      </c:lineChart>
      <c:catAx>
        <c:axId val="2041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204234912"/>
        <c:crosses val="autoZero"/>
        <c:auto val="1"/>
        <c:lblAlgn val="ctr"/>
        <c:lblOffset val="100"/>
        <c:noMultiLvlLbl val="0"/>
      </c:catAx>
      <c:valAx>
        <c:axId val="204234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1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T Serif" panose="020A0603040505020204" pitchFamily="18" charset="77"/>
                    <a:ea typeface="+mn-ea"/>
                    <a:cs typeface="+mn-cs"/>
                  </a:defRPr>
                </a:pPr>
                <a:endParaRPr lang="en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'25v2'!$A$5:$A$16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'25v2'!$P$5:$P$16</c:f>
              <c:numCache>
                <c:formatCode>0.0</c:formatCode>
                <c:ptCount val="12"/>
                <c:pt idx="0">
                  <c:v>3.98</c:v>
                </c:pt>
                <c:pt idx="1">
                  <c:v>3.9</c:v>
                </c:pt>
                <c:pt idx="2">
                  <c:v>4.04</c:v>
                </c:pt>
                <c:pt idx="3">
                  <c:v>4.0599999999999996</c:v>
                </c:pt>
                <c:pt idx="4">
                  <c:v>4.0199999999999996</c:v>
                </c:pt>
                <c:pt idx="5">
                  <c:v>3.9</c:v>
                </c:pt>
                <c:pt idx="6">
                  <c:v>3.92</c:v>
                </c:pt>
                <c:pt idx="7">
                  <c:v>3.96</c:v>
                </c:pt>
                <c:pt idx="8">
                  <c:v>3.18</c:v>
                </c:pt>
                <c:pt idx="9">
                  <c:v>2.9</c:v>
                </c:pt>
                <c:pt idx="10">
                  <c:v>2.9</c:v>
                </c:pt>
                <c:pt idx="11">
                  <c:v>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D-A144-84EE-7299A171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90512"/>
        <c:axId val="206587696"/>
      </c:barChart>
      <c:catAx>
        <c:axId val="14539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206587696"/>
        <c:crosses val="autoZero"/>
        <c:auto val="1"/>
        <c:lblAlgn val="ctr"/>
        <c:lblOffset val="100"/>
        <c:noMultiLvlLbl val="0"/>
      </c:catAx>
      <c:valAx>
        <c:axId val="20658769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14539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kaufland</c:v>
          </c:tx>
          <c:spPr>
            <a:ln w="28575" cap="rnd">
              <a:solidFill>
                <a:schemeClr val="accent1">
                  <a:alpha val="48583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'25v2'!$B$29:$M$29</c:f>
              <c:numCache>
                <c:formatCode>General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cat>
          <c:val>
            <c:numRef>
              <c:f>'25v2'!$I$5:$I$16</c:f>
              <c:numCache>
                <c:formatCode>General</c:formatCode>
                <c:ptCount val="12"/>
                <c:pt idx="0">
                  <c:v>0.60892388451443502</c:v>
                </c:pt>
                <c:pt idx="1">
                  <c:v>0.75853018372703396</c:v>
                </c:pt>
                <c:pt idx="2">
                  <c:v>0.78477690288713897</c:v>
                </c:pt>
                <c:pt idx="3">
                  <c:v>0.78215223097112796</c:v>
                </c:pt>
                <c:pt idx="4">
                  <c:v>0.77165354330708602</c:v>
                </c:pt>
                <c:pt idx="5">
                  <c:v>0.79790026246719103</c:v>
                </c:pt>
                <c:pt idx="6">
                  <c:v>0.837270341207349</c:v>
                </c:pt>
                <c:pt idx="7">
                  <c:v>0.90288713910761098</c:v>
                </c:pt>
                <c:pt idx="8">
                  <c:v>0.94225721784776895</c:v>
                </c:pt>
                <c:pt idx="9">
                  <c:v>0.87401574803149595</c:v>
                </c:pt>
                <c:pt idx="10">
                  <c:v>0.72965879265091804</c:v>
                </c:pt>
                <c:pt idx="11">
                  <c:v>0.51706036745406803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4E-DB44-B3F0-39D52FA6DEE4}"/>
            </c:ext>
          </c:extLst>
        </c:ser>
        <c:ser>
          <c:idx val="1"/>
          <c:order val="1"/>
          <c:tx>
            <c:v>max</c:v>
          </c:tx>
          <c:spPr>
            <a:ln w="28575" cap="rnd">
              <a:solidFill>
                <a:srgbClr val="C00000">
                  <a:alpha val="49000"/>
                </a:srgbClr>
              </a:solidFill>
              <a:round/>
            </a:ln>
            <a:effectLst/>
          </c:spPr>
          <c:marker>
            <c:symbol val="none"/>
          </c:marker>
          <c:val>
            <c:numRef>
              <c:f>'25v2'!$H$5:$H$16</c:f>
              <c:numCache>
                <c:formatCode>General</c:formatCode>
                <c:ptCount val="12"/>
                <c:pt idx="0">
                  <c:v>0.59517766497461899</c:v>
                </c:pt>
                <c:pt idx="1">
                  <c:v>0.775380710659898</c:v>
                </c:pt>
                <c:pt idx="2">
                  <c:v>0.89720812182741105</c:v>
                </c:pt>
                <c:pt idx="3">
                  <c:v>0.807106598984771</c:v>
                </c:pt>
                <c:pt idx="4">
                  <c:v>0.64086294416243605</c:v>
                </c:pt>
                <c:pt idx="5">
                  <c:v>0.67766497461928898</c:v>
                </c:pt>
                <c:pt idx="6">
                  <c:v>0.71573604060913698</c:v>
                </c:pt>
                <c:pt idx="7">
                  <c:v>0.69416243654822296</c:v>
                </c:pt>
                <c:pt idx="8">
                  <c:v>0.67005076142131903</c:v>
                </c:pt>
                <c:pt idx="9">
                  <c:v>0.74238578680203005</c:v>
                </c:pt>
                <c:pt idx="10">
                  <c:v>0.53934010152284195</c:v>
                </c:pt>
                <c:pt idx="11">
                  <c:v>0.38959390862944099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4E-DB44-B3F0-39D52FA6D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627216"/>
        <c:axId val="465146976"/>
      </c:lineChart>
      <c:catAx>
        <c:axId val="4896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T Serif" panose="020A0603040505020204" pitchFamily="18" charset="77"/>
                <a:ea typeface="+mn-ea"/>
                <a:cs typeface="+mn-cs"/>
              </a:defRPr>
            </a:pPr>
            <a:endParaRPr lang="en-SK"/>
          </a:p>
        </c:txPr>
        <c:crossAx val="465146976"/>
        <c:crosses val="autoZero"/>
        <c:auto val="1"/>
        <c:lblAlgn val="ctr"/>
        <c:lblOffset val="100"/>
        <c:noMultiLvlLbl val="0"/>
      </c:catAx>
      <c:valAx>
        <c:axId val="465146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8962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57</xdr:row>
      <xdr:rowOff>38100</xdr:rowOff>
    </xdr:from>
    <xdr:to>
      <xdr:col>13</xdr:col>
      <xdr:colOff>88900</xdr:colOff>
      <xdr:row>71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FB7E6E-3D55-0B46-AE11-3FA4E1DE9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44450</xdr:colOff>
      <xdr:row>122</xdr:row>
      <xdr:rowOff>196850</xdr:rowOff>
    </xdr:from>
    <xdr:to>
      <xdr:col>8</xdr:col>
      <xdr:colOff>488950</xdr:colOff>
      <xdr:row>136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34FED5-E90F-ED4D-9C8C-18922ACEA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273050</xdr:colOff>
      <xdr:row>123</xdr:row>
      <xdr:rowOff>6350</xdr:rowOff>
    </xdr:from>
    <xdr:to>
      <xdr:col>14</xdr:col>
      <xdr:colOff>717550</xdr:colOff>
      <xdr:row>136</xdr:row>
      <xdr:rowOff>107950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D4D983-E696-5543-A2D9-34836BFA4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158750</xdr:colOff>
      <xdr:row>123</xdr:row>
      <xdr:rowOff>136525</xdr:rowOff>
    </xdr:from>
    <xdr:to>
      <xdr:col>25</xdr:col>
      <xdr:colOff>158750</xdr:colOff>
      <xdr:row>137</xdr:row>
      <xdr:rowOff>64558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3667D5-EB0D-FC4F-9438-37AA8513D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461131</xdr:colOff>
      <xdr:row>61</xdr:row>
      <xdr:rowOff>61987</xdr:rowOff>
    </xdr:from>
    <xdr:to>
      <xdr:col>31</xdr:col>
      <xdr:colOff>551845</xdr:colOff>
      <xdr:row>75</xdr:row>
      <xdr:rowOff>11187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93941-44DC-AE47-B06B-8DD399D47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47</xdr:row>
      <xdr:rowOff>0</xdr:rowOff>
    </xdr:from>
    <xdr:to>
      <xdr:col>32</xdr:col>
      <xdr:colOff>90714</xdr:colOff>
      <xdr:row>60</xdr:row>
      <xdr:rowOff>119137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7AF74-FCD7-A04D-8CFE-4698CD869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63306</xdr:colOff>
      <xdr:row>38</xdr:row>
      <xdr:rowOff>146819</xdr:rowOff>
    </xdr:from>
    <xdr:to>
      <xdr:col>31</xdr:col>
      <xdr:colOff>436545</xdr:colOff>
      <xdr:row>39</xdr:row>
      <xdr:rowOff>7276</xdr:rowOff>
    </xdr:to>
    <xdr:sp macro="" textlink="">
      <xdr:nvSpPr>
        <xdr:cNvPr id="4" name="Parallelogram 3">
          <a:extLst>
            <a:ext uri="{FF2B5EF4-FFF2-40B4-BE49-F238E27FC236}">
              <a16:creationId xmlns:a16="http://schemas.microsoft.com/office/drawing/2014/main" id="{E4091F1D-460E-FC42-819B-47CB4C893BDA}"/>
            </a:ext>
          </a:extLst>
        </xdr:cNvPr>
        <xdr:cNvSpPr/>
      </xdr:nvSpPr>
      <xdr:spPr>
        <a:xfrm rot="20514713">
          <a:off x="17805953" y="7811643"/>
          <a:ext cx="373239" cy="62162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81234</xdr:colOff>
      <xdr:row>38</xdr:row>
      <xdr:rowOff>146819</xdr:rowOff>
    </xdr:from>
    <xdr:to>
      <xdr:col>29</xdr:col>
      <xdr:colOff>21179</xdr:colOff>
      <xdr:row>39</xdr:row>
      <xdr:rowOff>7276</xdr:rowOff>
    </xdr:to>
    <xdr:sp macro="" textlink="">
      <xdr:nvSpPr>
        <xdr:cNvPr id="5" name="Parallelogram 4">
          <a:extLst>
            <a:ext uri="{FF2B5EF4-FFF2-40B4-BE49-F238E27FC236}">
              <a16:creationId xmlns:a16="http://schemas.microsoft.com/office/drawing/2014/main" id="{2F763DC5-0032-AD4A-9689-F27186ABFF99}"/>
            </a:ext>
          </a:extLst>
        </xdr:cNvPr>
        <xdr:cNvSpPr/>
      </xdr:nvSpPr>
      <xdr:spPr>
        <a:xfrm rot="20514713">
          <a:off x="16957293" y="7811643"/>
          <a:ext cx="373239" cy="62162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61810</xdr:colOff>
      <xdr:row>38</xdr:row>
      <xdr:rowOff>148875</xdr:rowOff>
    </xdr:from>
    <xdr:to>
      <xdr:col>25</xdr:col>
      <xdr:colOff>1755</xdr:colOff>
      <xdr:row>39</xdr:row>
      <xdr:rowOff>9332</xdr:rowOff>
    </xdr:to>
    <xdr:sp macro="" textlink="">
      <xdr:nvSpPr>
        <xdr:cNvPr id="6" name="Parallelogram 5">
          <a:extLst>
            <a:ext uri="{FF2B5EF4-FFF2-40B4-BE49-F238E27FC236}">
              <a16:creationId xmlns:a16="http://schemas.microsoft.com/office/drawing/2014/main" id="{DC2EE7A6-A8A3-3B40-9BD1-11EEDA2F6E76}"/>
            </a:ext>
          </a:extLst>
        </xdr:cNvPr>
        <xdr:cNvSpPr/>
      </xdr:nvSpPr>
      <xdr:spPr>
        <a:xfrm rot="20514713">
          <a:off x="16071281" y="7813699"/>
          <a:ext cx="373239" cy="62162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44822</xdr:colOff>
      <xdr:row>38</xdr:row>
      <xdr:rowOff>146819</xdr:rowOff>
    </xdr:from>
    <xdr:to>
      <xdr:col>20</xdr:col>
      <xdr:colOff>201414</xdr:colOff>
      <xdr:row>39</xdr:row>
      <xdr:rowOff>7276</xdr:rowOff>
    </xdr:to>
    <xdr:sp macro="" textlink="">
      <xdr:nvSpPr>
        <xdr:cNvPr id="7" name="Parallelogram 6">
          <a:extLst>
            <a:ext uri="{FF2B5EF4-FFF2-40B4-BE49-F238E27FC236}">
              <a16:creationId xmlns:a16="http://schemas.microsoft.com/office/drawing/2014/main" id="{E4A15AFD-5E90-F741-86F7-D43DF30D6A30}"/>
            </a:ext>
          </a:extLst>
        </xdr:cNvPr>
        <xdr:cNvSpPr/>
      </xdr:nvSpPr>
      <xdr:spPr>
        <a:xfrm rot="20514713">
          <a:off x="15187704" y="7811643"/>
          <a:ext cx="373239" cy="62162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279398</xdr:colOff>
      <xdr:row>38</xdr:row>
      <xdr:rowOff>146819</xdr:rowOff>
    </xdr:from>
    <xdr:to>
      <xdr:col>17</xdr:col>
      <xdr:colOff>652637</xdr:colOff>
      <xdr:row>39</xdr:row>
      <xdr:rowOff>7276</xdr:rowOff>
    </xdr:to>
    <xdr:sp macro="" textlink="">
      <xdr:nvSpPr>
        <xdr:cNvPr id="8" name="Parallelogram 7">
          <a:extLst>
            <a:ext uri="{FF2B5EF4-FFF2-40B4-BE49-F238E27FC236}">
              <a16:creationId xmlns:a16="http://schemas.microsoft.com/office/drawing/2014/main" id="{4D23E1AD-181C-C442-A5D6-3FF449990CA8}"/>
            </a:ext>
          </a:extLst>
        </xdr:cNvPr>
        <xdr:cNvSpPr/>
      </xdr:nvSpPr>
      <xdr:spPr>
        <a:xfrm rot="20514713">
          <a:off x="14376398" y="7811643"/>
          <a:ext cx="373239" cy="62162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722779</xdr:colOff>
      <xdr:row>27</xdr:row>
      <xdr:rowOff>116914</xdr:rowOff>
    </xdr:from>
    <xdr:to>
      <xdr:col>30</xdr:col>
      <xdr:colOff>147543</xdr:colOff>
      <xdr:row>30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BAB9900-0008-BE47-93AD-4A3ED36C37C3}"/>
            </a:ext>
          </a:extLst>
        </xdr:cNvPr>
        <xdr:cNvSpPr/>
      </xdr:nvSpPr>
      <xdr:spPr>
        <a:xfrm>
          <a:off x="14705479" y="4384114"/>
          <a:ext cx="2841064" cy="6260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300">
              <a:solidFill>
                <a:schemeClr val="tx1">
                  <a:lumMod val="65000"/>
                  <a:lumOff val="35000"/>
                </a:schemeClr>
              </a:solidFill>
              <a:latin typeface="PT Serif" panose="020A0603040505020204" pitchFamily="18" charset="77"/>
            </a:rPr>
            <a:t>využitie potenciálu lekárne </a:t>
          </a:r>
        </a:p>
        <a:p>
          <a:pPr algn="ctr"/>
          <a:r>
            <a:rPr lang="en-GB" sz="1300">
              <a:solidFill>
                <a:schemeClr val="tx1">
                  <a:lumMod val="65000"/>
                  <a:lumOff val="35000"/>
                </a:schemeClr>
              </a:solidFill>
              <a:latin typeface="PT Serif" panose="020A0603040505020204" pitchFamily="18" charset="77"/>
            </a:rPr>
            <a:t>počas otváracích hodín a dňa</a:t>
          </a:r>
        </a:p>
      </xdr:txBody>
    </xdr:sp>
    <xdr:clientData/>
  </xdr:twoCellAnchor>
  <xdr:twoCellAnchor>
    <xdr:from>
      <xdr:col>22</xdr:col>
      <xdr:colOff>4885</xdr:colOff>
      <xdr:row>56</xdr:row>
      <xdr:rowOff>109250</xdr:rowOff>
    </xdr:from>
    <xdr:to>
      <xdr:col>30</xdr:col>
      <xdr:colOff>163871</xdr:colOff>
      <xdr:row>56</xdr:row>
      <xdr:rowOff>112346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1F06AA3-2506-424F-BB8A-BA5E0184F909}"/>
            </a:ext>
          </a:extLst>
        </xdr:cNvPr>
        <xdr:cNvCxnSpPr/>
      </xdr:nvCxnSpPr>
      <xdr:spPr>
        <a:xfrm flipV="1">
          <a:off x="15674731" y="11666250"/>
          <a:ext cx="1878371" cy="3096"/>
        </a:xfrm>
        <a:prstGeom prst="line">
          <a:avLst/>
        </a:prstGeom>
        <a:ln>
          <a:solidFill>
            <a:srgbClr val="00B050">
              <a:alpha val="50324"/>
            </a:srgb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122115</xdr:colOff>
      <xdr:row>56</xdr:row>
      <xdr:rowOff>113631</xdr:rowOff>
    </xdr:from>
    <xdr:to>
      <xdr:col>29</xdr:col>
      <xdr:colOff>24423</xdr:colOff>
      <xdr:row>57</xdr:row>
      <xdr:rowOff>166076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62EA09A1-FB97-EF43-AB5D-FFEE8E0BEB1C}"/>
            </a:ext>
          </a:extLst>
        </xdr:cNvPr>
        <xdr:cNvSpPr/>
      </xdr:nvSpPr>
      <xdr:spPr>
        <a:xfrm>
          <a:off x="17081500" y="11670631"/>
          <a:ext cx="117231" cy="257599"/>
        </a:xfrm>
        <a:prstGeom prst="rect">
          <a:avLst/>
        </a:prstGeom>
        <a:solidFill>
          <a:srgbClr val="00B050">
            <a:alpha val="29695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49823</xdr:colOff>
      <xdr:row>56</xdr:row>
      <xdr:rowOff>112347</xdr:rowOff>
    </xdr:from>
    <xdr:to>
      <xdr:col>30</xdr:col>
      <xdr:colOff>167054</xdr:colOff>
      <xdr:row>57</xdr:row>
      <xdr:rowOff>191477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0AF224E-5A01-4E49-9E6E-01B68268B2C8}"/>
            </a:ext>
          </a:extLst>
        </xdr:cNvPr>
        <xdr:cNvSpPr/>
      </xdr:nvSpPr>
      <xdr:spPr>
        <a:xfrm>
          <a:off x="17439054" y="11669347"/>
          <a:ext cx="117231" cy="284284"/>
        </a:xfrm>
        <a:prstGeom prst="rect">
          <a:avLst/>
        </a:prstGeom>
        <a:solidFill>
          <a:srgbClr val="00B050">
            <a:alpha val="29695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26</xdr:col>
      <xdr:colOff>200270</xdr:colOff>
      <xdr:row>56</xdr:row>
      <xdr:rowOff>117231</xdr:rowOff>
    </xdr:from>
    <xdr:to>
      <xdr:col>27</xdr:col>
      <xdr:colOff>97692</xdr:colOff>
      <xdr:row>57</xdr:row>
      <xdr:rowOff>97692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4658A1-5E97-E549-9385-11BB1704C02F}"/>
            </a:ext>
          </a:extLst>
        </xdr:cNvPr>
        <xdr:cNvSpPr/>
      </xdr:nvSpPr>
      <xdr:spPr>
        <a:xfrm>
          <a:off x="16729808" y="11674231"/>
          <a:ext cx="112346" cy="185615"/>
        </a:xfrm>
        <a:prstGeom prst="rect">
          <a:avLst/>
        </a:prstGeom>
        <a:solidFill>
          <a:srgbClr val="00B050">
            <a:alpha val="29695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704272</xdr:colOff>
      <xdr:row>51</xdr:row>
      <xdr:rowOff>150091</xdr:rowOff>
    </xdr:from>
    <xdr:to>
      <xdr:col>38</xdr:col>
      <xdr:colOff>483259</xdr:colOff>
      <xdr:row>65</xdr:row>
      <xdr:rowOff>67183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A0990-C57D-8D43-9DE9-92F493522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279398</xdr:colOff>
      <xdr:row>42</xdr:row>
      <xdr:rowOff>146819</xdr:rowOff>
    </xdr:from>
    <xdr:to>
      <xdr:col>17</xdr:col>
      <xdr:colOff>652637</xdr:colOff>
      <xdr:row>43</xdr:row>
      <xdr:rowOff>7276</xdr:rowOff>
    </xdr:to>
    <xdr:sp macro="" textlink="">
      <xdr:nvSpPr>
        <xdr:cNvPr id="8" name="Parallelogram 7">
          <a:extLst>
            <a:ext uri="{FF2B5EF4-FFF2-40B4-BE49-F238E27FC236}">
              <a16:creationId xmlns:a16="http://schemas.microsoft.com/office/drawing/2014/main" id="{2F19E48B-A71B-164A-88A7-935A62206F33}"/>
            </a:ext>
          </a:extLst>
        </xdr:cNvPr>
        <xdr:cNvSpPr/>
      </xdr:nvSpPr>
      <xdr:spPr>
        <a:xfrm rot="20514713">
          <a:off x="14262098" y="7944619"/>
          <a:ext cx="373239" cy="63657"/>
        </a:xfrm>
        <a:prstGeom prst="parallelogram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413071</xdr:colOff>
      <xdr:row>46</xdr:row>
      <xdr:rowOff>162277</xdr:rowOff>
    </xdr:from>
    <xdr:to>
      <xdr:col>32</xdr:col>
      <xdr:colOff>262613</xdr:colOff>
      <xdr:row>60</xdr:row>
      <xdr:rowOff>69785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D07BAD-1C73-6A41-B40D-C08B9A47C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23</xdr:row>
      <xdr:rowOff>0</xdr:rowOff>
    </xdr:from>
    <xdr:to>
      <xdr:col>39</xdr:col>
      <xdr:colOff>425824</xdr:colOff>
      <xdr:row>37</xdr:row>
      <xdr:rowOff>83670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EB2B03-F621-1D4C-8FE3-4E90AD4A0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48558</xdr:colOff>
      <xdr:row>37</xdr:row>
      <xdr:rowOff>141942</xdr:rowOff>
    </xdr:from>
    <xdr:to>
      <xdr:col>39</xdr:col>
      <xdr:colOff>474382</xdr:colOff>
      <xdr:row>51</xdr:row>
      <xdr:rowOff>61260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84FCF9B-247D-8947-B9F0-BA22999F5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5</xdr:row>
      <xdr:rowOff>0</xdr:rowOff>
    </xdr:from>
    <xdr:to>
      <xdr:col>38</xdr:col>
      <xdr:colOff>604487</xdr:colOff>
      <xdr:row>18</xdr:row>
      <xdr:rowOff>118175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2BA3AD-A732-B14C-8F6F-7F67C8AC2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3"/>
  <sheetViews>
    <sheetView showGridLines="0" topLeftCell="C123" zoomScale="120" zoomScaleNormal="120" workbookViewId="0">
      <selection activeCell="B95" sqref="B95:F95"/>
    </sheetView>
  </sheetViews>
  <sheetFormatPr baseColWidth="10" defaultRowHeight="16" x14ac:dyDescent="0.2"/>
  <cols>
    <col min="7" max="7" width="10.83203125" customWidth="1"/>
    <col min="20" max="22" width="2.83203125" customWidth="1"/>
    <col min="23" max="31" width="2.83203125" bestFit="1" customWidth="1"/>
    <col min="32" max="33" width="2.83203125" customWidth="1"/>
    <col min="34" max="34" width="4.6640625" bestFit="1" customWidth="1"/>
  </cols>
  <sheetData>
    <row r="1" spans="1:4" x14ac:dyDescent="0.2">
      <c r="A1" t="s">
        <v>0</v>
      </c>
    </row>
    <row r="2" spans="1:4" x14ac:dyDescent="0.2">
      <c r="A2">
        <v>7</v>
      </c>
      <c r="C2">
        <v>20.184281840000001</v>
      </c>
    </row>
    <row r="3" spans="1:4" x14ac:dyDescent="0.2">
      <c r="A3">
        <v>8</v>
      </c>
      <c r="B3">
        <v>35.588539070000003</v>
      </c>
      <c r="C3">
        <v>34.80819743</v>
      </c>
      <c r="D3">
        <v>1.02241833</v>
      </c>
    </row>
    <row r="4" spans="1:4" x14ac:dyDescent="0.2">
      <c r="A4">
        <v>9</v>
      </c>
      <c r="B4">
        <v>43.39566396</v>
      </c>
      <c r="C4">
        <v>48.607482429999997</v>
      </c>
      <c r="D4">
        <v>0.892777445</v>
      </c>
    </row>
    <row r="5" spans="1:4" x14ac:dyDescent="0.2">
      <c r="A5">
        <v>10</v>
      </c>
      <c r="B5">
        <v>31.96128169</v>
      </c>
      <c r="C5">
        <v>59.111111110000003</v>
      </c>
      <c r="D5">
        <v>0.54069837399999998</v>
      </c>
    </row>
    <row r="6" spans="1:4" x14ac:dyDescent="0.2">
      <c r="A6">
        <v>11</v>
      </c>
      <c r="B6">
        <v>46.845880340000001</v>
      </c>
      <c r="C6">
        <v>63.230687750000001</v>
      </c>
      <c r="D6">
        <v>0.74087254199999997</v>
      </c>
    </row>
    <row r="7" spans="1:4" x14ac:dyDescent="0.2">
      <c r="A7">
        <v>12</v>
      </c>
      <c r="B7">
        <v>66.637845850000005</v>
      </c>
      <c r="C7">
        <v>62.612466120000001</v>
      </c>
      <c r="D7">
        <v>1.0642903880000001</v>
      </c>
    </row>
    <row r="8" spans="1:4" x14ac:dyDescent="0.2">
      <c r="A8">
        <v>13</v>
      </c>
      <c r="B8">
        <v>50.840432640000003</v>
      </c>
      <c r="C8">
        <v>61.378076049999997</v>
      </c>
      <c r="D8">
        <v>0.82831584000000003</v>
      </c>
    </row>
    <row r="9" spans="1:4" x14ac:dyDescent="0.2">
      <c r="A9">
        <v>14</v>
      </c>
      <c r="B9">
        <v>19.792160790000001</v>
      </c>
      <c r="C9">
        <v>63.64260969</v>
      </c>
      <c r="D9">
        <v>0.31098914500000002</v>
      </c>
    </row>
    <row r="10" spans="1:4" x14ac:dyDescent="0.2">
      <c r="A10">
        <v>15</v>
      </c>
      <c r="B10">
        <v>8.8988715509999992</v>
      </c>
      <c r="C10">
        <v>68.791636240000003</v>
      </c>
      <c r="D10">
        <v>0.129359789</v>
      </c>
    </row>
    <row r="11" spans="1:4" x14ac:dyDescent="0.2">
      <c r="A11">
        <v>16</v>
      </c>
      <c r="B11">
        <v>11.80216802</v>
      </c>
      <c r="C11">
        <v>70.243933389999995</v>
      </c>
      <c r="D11">
        <v>0.168016901</v>
      </c>
    </row>
    <row r="12" spans="1:4" x14ac:dyDescent="0.2">
      <c r="A12">
        <v>17</v>
      </c>
      <c r="B12">
        <v>16.159891600000002</v>
      </c>
      <c r="C12">
        <v>65.292896589999998</v>
      </c>
      <c r="D12">
        <v>0.247498464</v>
      </c>
    </row>
    <row r="13" spans="1:4" x14ac:dyDescent="0.2">
      <c r="A13">
        <v>18</v>
      </c>
      <c r="B13">
        <v>11.444787120000001</v>
      </c>
      <c r="C13">
        <v>52.32084974</v>
      </c>
      <c r="D13">
        <v>0.21874237899999999</v>
      </c>
    </row>
    <row r="14" spans="1:4" x14ac:dyDescent="0.2">
      <c r="A14">
        <v>19</v>
      </c>
      <c r="B14">
        <v>9.0804063230000001</v>
      </c>
      <c r="C14">
        <v>37.075459129999999</v>
      </c>
    </row>
    <row r="15" spans="1:4" x14ac:dyDescent="0.2">
      <c r="A15">
        <v>20</v>
      </c>
      <c r="C15">
        <v>22.45080926</v>
      </c>
    </row>
    <row r="18" spans="1:3" x14ac:dyDescent="0.2">
      <c r="A18" t="s">
        <v>1</v>
      </c>
    </row>
    <row r="19" spans="1:3" x14ac:dyDescent="0.2">
      <c r="A19">
        <v>7</v>
      </c>
      <c r="C19">
        <v>0.29838709699999999</v>
      </c>
    </row>
    <row r="20" spans="1:3" x14ac:dyDescent="0.2">
      <c r="A20">
        <v>8</v>
      </c>
      <c r="B20">
        <v>0.51832460700000005</v>
      </c>
      <c r="C20">
        <v>0.45698924699999999</v>
      </c>
    </row>
    <row r="21" spans="1:3" x14ac:dyDescent="0.2">
      <c r="A21">
        <v>9</v>
      </c>
      <c r="B21">
        <v>0.74345549700000002</v>
      </c>
      <c r="C21">
        <v>0.61021505399999998</v>
      </c>
    </row>
    <row r="22" spans="1:3" x14ac:dyDescent="0.2">
      <c r="A22">
        <v>10</v>
      </c>
      <c r="B22">
        <v>0.84031413600000004</v>
      </c>
      <c r="C22">
        <v>0.70430107500000005</v>
      </c>
    </row>
    <row r="23" spans="1:3" x14ac:dyDescent="0.2">
      <c r="A23">
        <v>11</v>
      </c>
      <c r="B23">
        <v>0.77486911000000003</v>
      </c>
      <c r="C23">
        <v>0.71774193500000005</v>
      </c>
    </row>
    <row r="24" spans="1:3" x14ac:dyDescent="0.2">
      <c r="A24">
        <v>12</v>
      </c>
      <c r="B24">
        <v>0.73298429300000001</v>
      </c>
      <c r="C24">
        <v>0.72849462399999998</v>
      </c>
    </row>
    <row r="25" spans="1:3" x14ac:dyDescent="0.2">
      <c r="A25">
        <v>13</v>
      </c>
      <c r="B25">
        <v>0.76963350799999997</v>
      </c>
      <c r="C25">
        <v>0.78494623699999999</v>
      </c>
    </row>
    <row r="26" spans="1:3" x14ac:dyDescent="0.2">
      <c r="A26">
        <v>14</v>
      </c>
      <c r="B26">
        <v>0.82722513099999995</v>
      </c>
      <c r="C26">
        <v>0.84677419399999998</v>
      </c>
    </row>
    <row r="27" spans="1:3" x14ac:dyDescent="0.2">
      <c r="A27">
        <v>15</v>
      </c>
      <c r="B27">
        <v>0.78534031400000004</v>
      </c>
      <c r="C27">
        <v>0.83602150500000005</v>
      </c>
    </row>
    <row r="28" spans="1:3" x14ac:dyDescent="0.2">
      <c r="A28">
        <v>16</v>
      </c>
      <c r="B28">
        <v>0.64136125700000002</v>
      </c>
      <c r="C28">
        <v>0.78494623699999999</v>
      </c>
    </row>
    <row r="29" spans="1:3" x14ac:dyDescent="0.2">
      <c r="A29">
        <v>17</v>
      </c>
      <c r="B29">
        <v>0.51570680599999996</v>
      </c>
      <c r="C29">
        <v>0.76612903200000004</v>
      </c>
    </row>
    <row r="30" spans="1:3" x14ac:dyDescent="0.2">
      <c r="A30">
        <v>18</v>
      </c>
      <c r="B30">
        <v>0.48167539300000001</v>
      </c>
      <c r="C30">
        <v>0.70698924699999999</v>
      </c>
    </row>
    <row r="31" spans="1:3" x14ac:dyDescent="0.2">
      <c r="A31">
        <v>19</v>
      </c>
      <c r="B31">
        <v>0.327225131</v>
      </c>
      <c r="C31">
        <v>0.53225806499999995</v>
      </c>
    </row>
    <row r="32" spans="1:3" x14ac:dyDescent="0.2">
      <c r="A32">
        <v>20</v>
      </c>
      <c r="C32">
        <v>0.322580645</v>
      </c>
    </row>
    <row r="35" spans="1:3" x14ac:dyDescent="0.2">
      <c r="A35">
        <v>293</v>
      </c>
    </row>
    <row r="36" spans="1:3" x14ac:dyDescent="0.2">
      <c r="B36" t="s">
        <v>2</v>
      </c>
    </row>
    <row r="37" spans="1:3" x14ac:dyDescent="0.2">
      <c r="A37">
        <v>6</v>
      </c>
      <c r="C37">
        <v>0.16616314200000001</v>
      </c>
    </row>
    <row r="38" spans="1:3" x14ac:dyDescent="0.2">
      <c r="A38">
        <v>7</v>
      </c>
      <c r="C38">
        <v>0.30211480400000001</v>
      </c>
    </row>
    <row r="39" spans="1:3" x14ac:dyDescent="0.2">
      <c r="A39">
        <v>8</v>
      </c>
      <c r="B39">
        <v>0.392207792</v>
      </c>
      <c r="C39">
        <v>0.45921450200000002</v>
      </c>
    </row>
    <row r="40" spans="1:3" x14ac:dyDescent="0.2">
      <c r="A40">
        <v>9</v>
      </c>
      <c r="B40">
        <v>0.68831168799999998</v>
      </c>
      <c r="C40">
        <v>0.610271903</v>
      </c>
    </row>
    <row r="41" spans="1:3" x14ac:dyDescent="0.2">
      <c r="A41">
        <v>10</v>
      </c>
      <c r="B41">
        <v>0.64675324700000003</v>
      </c>
      <c r="C41">
        <v>0.72809667700000003</v>
      </c>
    </row>
    <row r="42" spans="1:3" x14ac:dyDescent="0.2">
      <c r="A42">
        <v>11</v>
      </c>
      <c r="B42">
        <v>0.64415584400000003</v>
      </c>
      <c r="C42">
        <v>0.77039274899999999</v>
      </c>
    </row>
    <row r="43" spans="1:3" x14ac:dyDescent="0.2">
      <c r="A43">
        <v>12</v>
      </c>
      <c r="B43">
        <v>0.74025974000000005</v>
      </c>
      <c r="C43">
        <v>0.77039274899999999</v>
      </c>
    </row>
    <row r="44" spans="1:3" x14ac:dyDescent="0.2">
      <c r="A44">
        <v>13</v>
      </c>
      <c r="B44">
        <v>0.79480519500000002</v>
      </c>
      <c r="C44">
        <v>0.74018126900000003</v>
      </c>
    </row>
    <row r="45" spans="1:3" x14ac:dyDescent="0.2">
      <c r="A45">
        <v>14</v>
      </c>
      <c r="B45">
        <v>0.74285714300000005</v>
      </c>
      <c r="C45">
        <v>0.78247734099999999</v>
      </c>
    </row>
    <row r="46" spans="1:3" x14ac:dyDescent="0.2">
      <c r="A46">
        <v>15</v>
      </c>
      <c r="B46">
        <v>0.54025973999999999</v>
      </c>
      <c r="C46">
        <v>0.86404833800000003</v>
      </c>
    </row>
    <row r="47" spans="1:3" x14ac:dyDescent="0.2">
      <c r="A47">
        <v>16</v>
      </c>
      <c r="B47">
        <v>0.34285714299999998</v>
      </c>
      <c r="C47">
        <v>0.93353474299999994</v>
      </c>
    </row>
    <row r="48" spans="1:3" x14ac:dyDescent="0.2">
      <c r="A48">
        <v>17</v>
      </c>
      <c r="B48">
        <v>0.24675324700000001</v>
      </c>
      <c r="C48">
        <v>0.927492447</v>
      </c>
    </row>
    <row r="49" spans="1:3" x14ac:dyDescent="0.2">
      <c r="A49">
        <v>18</v>
      </c>
      <c r="B49">
        <v>0.74285714300000005</v>
      </c>
      <c r="C49">
        <v>0.80664652599999997</v>
      </c>
    </row>
    <row r="50" spans="1:3" x14ac:dyDescent="0.2">
      <c r="A50">
        <v>19</v>
      </c>
      <c r="B50">
        <v>0.83376623400000005</v>
      </c>
      <c r="C50">
        <v>0.59516616300000003</v>
      </c>
    </row>
    <row r="51" spans="1:3" x14ac:dyDescent="0.2">
      <c r="A51">
        <v>20</v>
      </c>
      <c r="C51">
        <v>0.37160120800000002</v>
      </c>
    </row>
    <row r="52" spans="1:3" x14ac:dyDescent="0.2">
      <c r="A52">
        <v>21</v>
      </c>
      <c r="C52">
        <v>0.18126888199999999</v>
      </c>
    </row>
    <row r="55" spans="1:3" x14ac:dyDescent="0.2">
      <c r="A55">
        <v>71</v>
      </c>
      <c r="B55" t="s">
        <v>2</v>
      </c>
    </row>
    <row r="56" spans="1:3" x14ac:dyDescent="0.2">
      <c r="C56">
        <v>0.156756757</v>
      </c>
    </row>
    <row r="57" spans="1:3" x14ac:dyDescent="0.2">
      <c r="A57">
        <v>8</v>
      </c>
      <c r="B57">
        <v>0.21227621499999999</v>
      </c>
      <c r="C57">
        <v>0.324324324</v>
      </c>
    </row>
    <row r="58" spans="1:3" x14ac:dyDescent="0.2">
      <c r="A58">
        <v>9</v>
      </c>
      <c r="B58">
        <v>0.38363171400000001</v>
      </c>
      <c r="C58">
        <v>0.52972973000000001</v>
      </c>
    </row>
    <row r="59" spans="1:3" x14ac:dyDescent="0.2">
      <c r="A59">
        <v>10</v>
      </c>
      <c r="B59">
        <v>0.34526854200000001</v>
      </c>
      <c r="C59">
        <v>0.678378378</v>
      </c>
    </row>
    <row r="60" spans="1:3" x14ac:dyDescent="0.2">
      <c r="A60">
        <v>11</v>
      </c>
      <c r="B60">
        <v>0.72634271100000003</v>
      </c>
      <c r="C60">
        <v>0.73243243199999997</v>
      </c>
    </row>
    <row r="61" spans="1:3" x14ac:dyDescent="0.2">
      <c r="A61">
        <v>12</v>
      </c>
      <c r="B61">
        <v>0.77237851700000004</v>
      </c>
      <c r="C61">
        <v>0.68918918900000004</v>
      </c>
    </row>
    <row r="62" spans="1:3" x14ac:dyDescent="0.2">
      <c r="A62">
        <v>13</v>
      </c>
      <c r="B62">
        <v>0.47826087</v>
      </c>
      <c r="C62">
        <v>0.662162162</v>
      </c>
    </row>
    <row r="63" spans="1:3" x14ac:dyDescent="0.2">
      <c r="A63">
        <v>14</v>
      </c>
      <c r="B63">
        <v>0.18670076699999999</v>
      </c>
      <c r="C63">
        <v>0.69189189200000001</v>
      </c>
    </row>
    <row r="64" spans="1:3" x14ac:dyDescent="0.2">
      <c r="A64">
        <v>15</v>
      </c>
      <c r="B64">
        <v>0.13554987199999999</v>
      </c>
      <c r="C64">
        <v>0.79729729699999996</v>
      </c>
    </row>
    <row r="65" spans="1:15" x14ac:dyDescent="0.2">
      <c r="A65">
        <v>16</v>
      </c>
      <c r="B65">
        <v>0.18925831200000001</v>
      </c>
      <c r="C65">
        <v>0.905405405</v>
      </c>
    </row>
    <row r="66" spans="1:15" x14ac:dyDescent="0.2">
      <c r="A66">
        <v>17</v>
      </c>
      <c r="B66">
        <v>0.26598465500000001</v>
      </c>
      <c r="C66">
        <v>0.94594594600000004</v>
      </c>
      <c r="D66">
        <v>1.291512915</v>
      </c>
    </row>
    <row r="67" spans="1:15" x14ac:dyDescent="0.2">
      <c r="A67">
        <v>18</v>
      </c>
      <c r="B67">
        <v>0.26598465500000001</v>
      </c>
      <c r="C67">
        <v>0.79729729699999996</v>
      </c>
    </row>
    <row r="68" spans="1:15" x14ac:dyDescent="0.2">
      <c r="A68">
        <v>19</v>
      </c>
      <c r="B68">
        <v>0.18925831200000001</v>
      </c>
      <c r="C68">
        <v>0.55675675700000005</v>
      </c>
    </row>
    <row r="69" spans="1:15" x14ac:dyDescent="0.2">
      <c r="C69">
        <v>0.30270270300000002</v>
      </c>
    </row>
    <row r="72" spans="1:15" x14ac:dyDescent="0.2">
      <c r="A72">
        <v>177</v>
      </c>
    </row>
    <row r="73" spans="1:15" x14ac:dyDescent="0.2">
      <c r="B73" s="29" t="s">
        <v>4</v>
      </c>
      <c r="C73" s="29"/>
      <c r="D73" s="31" t="s">
        <v>5</v>
      </c>
      <c r="E73" s="31"/>
      <c r="F73" s="31" t="s">
        <v>6</v>
      </c>
      <c r="G73" s="31"/>
      <c r="H73" s="29" t="s">
        <v>7</v>
      </c>
      <c r="I73" s="29"/>
      <c r="J73" s="29" t="s">
        <v>3</v>
      </c>
      <c r="K73" s="29"/>
    </row>
    <row r="74" spans="1:15" x14ac:dyDescent="0.2">
      <c r="A74" s="1">
        <v>6</v>
      </c>
      <c r="B74" s="1"/>
      <c r="C74" s="1">
        <v>6.3063063063062905E-2</v>
      </c>
      <c r="D74" s="1"/>
      <c r="E74">
        <v>8.9020771513353095E-2</v>
      </c>
      <c r="F74" s="1"/>
      <c r="G74">
        <v>6.5281899109792194E-2</v>
      </c>
      <c r="H74" s="1"/>
      <c r="I74" s="1">
        <v>8.9552238805970005E-2</v>
      </c>
      <c r="J74" s="11"/>
      <c r="K74" s="11">
        <v>0.11480362537764301</v>
      </c>
      <c r="M74" s="1">
        <v>0.103857566765578</v>
      </c>
      <c r="O74" s="1">
        <v>6.3253012048192697E-2</v>
      </c>
    </row>
    <row r="75" spans="1:15" x14ac:dyDescent="0.2">
      <c r="A75" s="2">
        <v>7</v>
      </c>
      <c r="B75" s="2"/>
      <c r="C75" s="2">
        <v>0.144144144144144</v>
      </c>
      <c r="D75" s="2"/>
      <c r="E75">
        <v>0.15727002967358999</v>
      </c>
      <c r="F75" s="2"/>
      <c r="G75">
        <v>0.14540059347181</v>
      </c>
      <c r="H75" s="2"/>
      <c r="I75" s="2">
        <v>0.2</v>
      </c>
      <c r="J75" s="12"/>
      <c r="K75" s="12">
        <v>0.21752265861027101</v>
      </c>
      <c r="M75" s="2">
        <v>0.21068249258160199</v>
      </c>
      <c r="O75" s="2">
        <v>0.14156626506024</v>
      </c>
    </row>
    <row r="76" spans="1:15" x14ac:dyDescent="0.2">
      <c r="A76" s="2">
        <v>8</v>
      </c>
      <c r="B76" s="1">
        <v>0.18346253229974099</v>
      </c>
      <c r="C76" s="2">
        <v>0.273273273273273</v>
      </c>
      <c r="D76" s="1">
        <v>0.208121827411167</v>
      </c>
      <c r="E76">
        <v>0.27596439169139397</v>
      </c>
      <c r="F76" s="2">
        <v>9.0206185567010197E-2</v>
      </c>
      <c r="G76">
        <v>0.23738872403560801</v>
      </c>
      <c r="H76">
        <v>0.126984126984127</v>
      </c>
      <c r="I76" s="2">
        <v>0.361194029850746</v>
      </c>
      <c r="J76" s="12">
        <v>4.4502617801047098E-2</v>
      </c>
      <c r="K76" s="12">
        <v>0.36858006042295999</v>
      </c>
      <c r="M76" s="2">
        <v>0.344213649851632</v>
      </c>
      <c r="O76" s="2">
        <v>0.234939759036144</v>
      </c>
    </row>
    <row r="77" spans="1:15" x14ac:dyDescent="0.2">
      <c r="A77" s="2">
        <v>9</v>
      </c>
      <c r="B77" s="2">
        <v>0.47545219638242803</v>
      </c>
      <c r="C77" s="2">
        <v>0.42342342342342298</v>
      </c>
      <c r="D77" s="2">
        <v>0.30203045685279101</v>
      </c>
      <c r="E77">
        <v>0.42136498516320398</v>
      </c>
      <c r="F77" s="2">
        <v>0.21134020618556601</v>
      </c>
      <c r="G77">
        <v>0.37388724035608301</v>
      </c>
      <c r="H77">
        <v>0.51322751322751303</v>
      </c>
      <c r="I77" s="2">
        <v>0.53134328358208904</v>
      </c>
      <c r="J77" s="12">
        <v>0.25916230366492099</v>
      </c>
      <c r="K77" s="12">
        <v>0.51661631419939502</v>
      </c>
      <c r="L77" s="1">
        <v>0.30215827338129497</v>
      </c>
      <c r="M77" s="2">
        <v>0.51928783382789301</v>
      </c>
      <c r="O77" s="2">
        <v>0.358433734939759</v>
      </c>
    </row>
    <row r="78" spans="1:15" x14ac:dyDescent="0.2">
      <c r="A78" s="2">
        <v>10</v>
      </c>
      <c r="B78" s="2">
        <v>0.55813953488372003</v>
      </c>
      <c r="C78" s="2">
        <v>0.55555555555555503</v>
      </c>
      <c r="D78" s="2">
        <v>0.42639593908629397</v>
      </c>
      <c r="E78">
        <v>0.55489614243323404</v>
      </c>
      <c r="F78" s="2">
        <v>0.384020618556701</v>
      </c>
      <c r="G78">
        <v>0.46587537091988102</v>
      </c>
      <c r="H78">
        <v>0.94708994708994698</v>
      </c>
      <c r="I78" s="2">
        <v>0.66865671641791002</v>
      </c>
      <c r="J78" s="12">
        <v>0.65183246073298395</v>
      </c>
      <c r="K78" s="12">
        <v>0.65558912386706902</v>
      </c>
      <c r="L78" s="2">
        <v>0.213429256594724</v>
      </c>
      <c r="M78" s="2">
        <v>0.66172106824925803</v>
      </c>
      <c r="O78" s="2">
        <v>0.451807228915662</v>
      </c>
    </row>
    <row r="79" spans="1:15" x14ac:dyDescent="0.2">
      <c r="A79" s="2">
        <v>11</v>
      </c>
      <c r="B79" s="2">
        <v>0.34108527131782901</v>
      </c>
      <c r="C79" s="2">
        <v>0.57957957957957895</v>
      </c>
      <c r="D79" s="2">
        <v>0.51776649746192804</v>
      </c>
      <c r="E79">
        <v>0.63501483679525195</v>
      </c>
      <c r="F79" s="2">
        <v>0.38144329896907198</v>
      </c>
      <c r="G79">
        <v>0.49258160237388698</v>
      </c>
      <c r="H79">
        <v>0.89153439153439096</v>
      </c>
      <c r="I79" s="2">
        <v>0.70149253731343197</v>
      </c>
      <c r="J79" s="12">
        <v>0.649214659685863</v>
      </c>
      <c r="K79" s="12">
        <v>0.70694864048338302</v>
      </c>
      <c r="L79" s="2">
        <v>0.13429256594724201</v>
      </c>
      <c r="M79" s="2">
        <v>0.76854599406528201</v>
      </c>
      <c r="O79" s="2">
        <v>0.52108433734939696</v>
      </c>
    </row>
    <row r="80" spans="1:15" x14ac:dyDescent="0.2">
      <c r="A80" s="2">
        <v>12</v>
      </c>
      <c r="B80" s="2">
        <v>0.26356589147286802</v>
      </c>
      <c r="C80" s="2">
        <v>0.55555555555555503</v>
      </c>
      <c r="D80" s="2">
        <v>0.55837563451776595</v>
      </c>
      <c r="E80">
        <v>0.63798219584569704</v>
      </c>
      <c r="F80" s="2">
        <v>0.30154639175257703</v>
      </c>
      <c r="G80">
        <v>0.489614243323442</v>
      </c>
      <c r="H80">
        <v>0.55555555555555503</v>
      </c>
      <c r="I80" s="2">
        <v>0.65373134328358196</v>
      </c>
      <c r="J80" s="12">
        <v>0.38481675392670101</v>
      </c>
      <c r="K80" s="12">
        <v>0.71601208459214405</v>
      </c>
      <c r="L80" s="2">
        <v>0.211031175059952</v>
      </c>
      <c r="M80" s="2">
        <v>0.79821958456973297</v>
      </c>
      <c r="O80" s="2">
        <v>0.55722891566264998</v>
      </c>
    </row>
    <row r="81" spans="1:15" x14ac:dyDescent="0.2">
      <c r="A81" s="2">
        <v>13</v>
      </c>
      <c r="B81" s="2">
        <v>0.26356589147286802</v>
      </c>
      <c r="C81" s="2">
        <v>0.55255255255255198</v>
      </c>
      <c r="D81" s="2">
        <v>0.59898477157360397</v>
      </c>
      <c r="E81">
        <v>0.62314540059347101</v>
      </c>
      <c r="F81" s="2">
        <v>0.51288659793814395</v>
      </c>
      <c r="G81">
        <v>0.47477744807121602</v>
      </c>
      <c r="H81">
        <v>0.38095238095237999</v>
      </c>
      <c r="I81" s="2">
        <v>0.61194029850746201</v>
      </c>
      <c r="J81" s="12">
        <v>0.34293193717277398</v>
      </c>
      <c r="K81" s="12">
        <v>0.73111782477341303</v>
      </c>
      <c r="L81" s="2">
        <v>0.26618705035971202</v>
      </c>
      <c r="M81" s="2">
        <v>0.771513353115727</v>
      </c>
      <c r="O81" s="2">
        <v>0.58433734939758997</v>
      </c>
    </row>
    <row r="82" spans="1:15" x14ac:dyDescent="0.2">
      <c r="A82" s="2">
        <v>14</v>
      </c>
      <c r="B82" s="2">
        <v>0.209302325581395</v>
      </c>
      <c r="C82" s="2">
        <v>0.62162162162162105</v>
      </c>
      <c r="D82" s="2">
        <v>0.59390862944162404</v>
      </c>
      <c r="E82">
        <v>0.66172106824925803</v>
      </c>
      <c r="F82" s="2">
        <v>0.47164948453608202</v>
      </c>
      <c r="G82">
        <v>0.51928783382789301</v>
      </c>
      <c r="H82">
        <v>0.37830687830687798</v>
      </c>
      <c r="I82" s="2">
        <v>0.65074626865671603</v>
      </c>
      <c r="J82" s="12">
        <v>0.38481675392670101</v>
      </c>
      <c r="K82" s="12">
        <v>0.77341389728096599</v>
      </c>
      <c r="L82" s="2">
        <v>0.211031175059952</v>
      </c>
      <c r="M82" s="2">
        <v>0.70623145400593401</v>
      </c>
      <c r="O82" s="2">
        <v>0.63554216867469804</v>
      </c>
    </row>
    <row r="83" spans="1:15" x14ac:dyDescent="0.2">
      <c r="A83" s="2">
        <v>15</v>
      </c>
      <c r="B83" s="2">
        <v>0.26098191214470201</v>
      </c>
      <c r="C83" s="2">
        <v>0.75675675675675602</v>
      </c>
      <c r="D83" s="2">
        <v>0.51522842639593902</v>
      </c>
      <c r="E83">
        <v>0.78041543026706195</v>
      </c>
      <c r="F83" s="2">
        <v>0.21134020618556601</v>
      </c>
      <c r="G83">
        <v>0.61127596439169096</v>
      </c>
      <c r="H83">
        <v>0.33862433862433799</v>
      </c>
      <c r="I83" s="2">
        <v>0.77014925373134302</v>
      </c>
      <c r="J83" s="12">
        <v>0.30104712041884801</v>
      </c>
      <c r="K83" s="12">
        <v>0.83685800604229599</v>
      </c>
      <c r="L83" s="2">
        <v>0.208633093525179</v>
      </c>
      <c r="M83" s="2">
        <v>0.67655786350148295</v>
      </c>
      <c r="O83" s="2">
        <v>0.70481927710843295</v>
      </c>
    </row>
    <row r="84" spans="1:15" x14ac:dyDescent="0.2">
      <c r="A84" s="2">
        <v>16</v>
      </c>
      <c r="B84" s="2">
        <v>0.38242894056847498</v>
      </c>
      <c r="C84" s="2">
        <v>0.86186186186186098</v>
      </c>
      <c r="D84" s="2">
        <v>0.42131979695431399</v>
      </c>
      <c r="E84">
        <v>0.89910979228486598</v>
      </c>
      <c r="F84" s="2">
        <v>0.20618556701030899</v>
      </c>
      <c r="G84">
        <v>0.70623145400593401</v>
      </c>
      <c r="H84">
        <v>0.26190476190476097</v>
      </c>
      <c r="I84" s="2">
        <v>0.88955223880597001</v>
      </c>
      <c r="J84" s="12">
        <v>0.206806282722512</v>
      </c>
      <c r="K84" s="12">
        <v>0.90634441087613304</v>
      </c>
      <c r="L84" s="2">
        <v>0.26618705035971202</v>
      </c>
      <c r="M84" s="2">
        <v>0.688427299703264</v>
      </c>
      <c r="O84" s="2">
        <v>0.77108433734939696</v>
      </c>
    </row>
    <row r="85" spans="1:15" x14ac:dyDescent="0.2">
      <c r="A85" s="2">
        <v>17</v>
      </c>
      <c r="B85" s="2">
        <v>0.51421188630490899</v>
      </c>
      <c r="C85" s="2">
        <v>0.84984984984984902</v>
      </c>
      <c r="D85" s="2">
        <v>0.34517766497461899</v>
      </c>
      <c r="E85">
        <v>0.93471810089020702</v>
      </c>
      <c r="F85" s="2">
        <v>0.20876288659793801</v>
      </c>
      <c r="G85">
        <v>0.72700296735905001</v>
      </c>
      <c r="H85">
        <v>0.26190476190476097</v>
      </c>
      <c r="I85" s="2">
        <v>0.916417910447761</v>
      </c>
      <c r="J85" s="12">
        <v>0.34031413612565398</v>
      </c>
      <c r="K85" s="12">
        <v>0.89425981873111704</v>
      </c>
      <c r="L85" s="2">
        <v>0.26139088729016702</v>
      </c>
      <c r="M85" s="2">
        <v>0.73887240356083095</v>
      </c>
      <c r="O85" s="2">
        <v>0.76807228915662595</v>
      </c>
    </row>
    <row r="86" spans="1:15" x14ac:dyDescent="0.2">
      <c r="A86" s="2">
        <v>18</v>
      </c>
      <c r="B86" s="2">
        <v>0.51421188630490899</v>
      </c>
      <c r="C86" s="2">
        <v>0.71471471471471404</v>
      </c>
      <c r="D86" s="2">
        <v>0.26142131979695399</v>
      </c>
      <c r="E86" s="2">
        <v>0.833827893175074</v>
      </c>
      <c r="F86" s="2">
        <v>0.182989690721649</v>
      </c>
      <c r="G86" s="2">
        <v>0.62611275964391599</v>
      </c>
      <c r="H86">
        <v>0.38095238095237999</v>
      </c>
      <c r="I86" s="2">
        <v>0.79701492537313401</v>
      </c>
      <c r="J86" s="12">
        <v>0.47643979057591601</v>
      </c>
      <c r="K86" s="12">
        <v>0.80060422960724997</v>
      </c>
      <c r="L86" s="2">
        <v>0.184652278177458</v>
      </c>
      <c r="M86" s="2">
        <v>0.71513353115726996</v>
      </c>
      <c r="O86" s="2">
        <v>0.68072289156626498</v>
      </c>
    </row>
    <row r="87" spans="1:15" x14ac:dyDescent="0.2">
      <c r="A87" s="2">
        <v>19</v>
      </c>
      <c r="B87" s="2">
        <v>0.30232558139534799</v>
      </c>
      <c r="C87" s="2">
        <v>0.51651651651651598</v>
      </c>
      <c r="D87" s="2">
        <v>0.182741116751269</v>
      </c>
      <c r="E87" s="2">
        <v>0.60830860534124598</v>
      </c>
      <c r="F87" s="2">
        <v>9.0206185567010197E-2</v>
      </c>
      <c r="G87" s="2">
        <v>0.45103857566765498</v>
      </c>
      <c r="H87">
        <v>0.206349206349206</v>
      </c>
      <c r="I87" s="2">
        <v>0.58507462686567102</v>
      </c>
      <c r="J87" s="12">
        <v>0.261780104712041</v>
      </c>
      <c r="K87" s="12">
        <v>0.61027190332326198</v>
      </c>
      <c r="L87" s="2">
        <v>9.11270983213429E-2</v>
      </c>
      <c r="M87" s="2">
        <v>0.61127596439169096</v>
      </c>
      <c r="O87" s="2">
        <v>0.50301204819277101</v>
      </c>
    </row>
    <row r="88" spans="1:15" x14ac:dyDescent="0.2">
      <c r="A88" s="2">
        <v>20</v>
      </c>
      <c r="B88" s="2"/>
      <c r="C88" s="2">
        <v>0.30630630630630601</v>
      </c>
      <c r="D88" s="2"/>
      <c r="E88" s="2">
        <v>0.37091988130563802</v>
      </c>
      <c r="F88" s="2"/>
      <c r="G88" s="2">
        <v>0.27893175074183901</v>
      </c>
      <c r="H88" s="2"/>
      <c r="I88" s="2">
        <v>0.34626865671641699</v>
      </c>
      <c r="J88" s="12"/>
      <c r="K88" s="12">
        <v>0.39577039274924403</v>
      </c>
      <c r="L88" s="2"/>
      <c r="M88" s="2">
        <v>0.42433234421364902</v>
      </c>
      <c r="O88" s="2">
        <v>0.31927710843373402</v>
      </c>
    </row>
    <row r="89" spans="1:15" x14ac:dyDescent="0.2">
      <c r="A89" s="3">
        <v>21</v>
      </c>
      <c r="B89" s="3"/>
      <c r="C89" s="3">
        <v>0.13813813813813799</v>
      </c>
      <c r="D89" s="3"/>
      <c r="E89" s="3">
        <v>0.18397626112759599</v>
      </c>
      <c r="F89" s="3"/>
      <c r="G89" s="3">
        <v>0.130563798219584</v>
      </c>
      <c r="H89" s="3"/>
      <c r="I89" s="3">
        <v>0.155223880597015</v>
      </c>
      <c r="J89" s="13"/>
      <c r="K89" s="13">
        <v>0.22054380664652501</v>
      </c>
      <c r="L89" s="3"/>
      <c r="M89" s="3">
        <v>0.22255192878338201</v>
      </c>
      <c r="O89" s="3">
        <v>0.156626506024096</v>
      </c>
    </row>
    <row r="90" spans="1:15" x14ac:dyDescent="0.2">
      <c r="B90" s="30">
        <f>4.03/6.87</f>
        <v>0.58660844250363908</v>
      </c>
      <c r="C90" s="30"/>
      <c r="D90" s="30">
        <f>4.74/7.42</f>
        <v>0.63881401617250677</v>
      </c>
      <c r="E90" s="30"/>
      <c r="F90" s="30">
        <f>3.16/5.83</f>
        <v>0.54202401372212694</v>
      </c>
      <c r="G90" s="30"/>
      <c r="H90" s="32">
        <f>H91/I91</f>
        <v>0.66318537859007831</v>
      </c>
      <c r="I90" s="32"/>
      <c r="J90" s="30">
        <f>J91/K91</f>
        <v>0.51681195516811962</v>
      </c>
      <c r="K90" s="30"/>
      <c r="L90" s="32">
        <f>L91/M91</f>
        <v>0.30585106382978722</v>
      </c>
      <c r="M90" s="32"/>
    </row>
    <row r="91" spans="1:15" x14ac:dyDescent="0.2">
      <c r="B91">
        <v>4.03</v>
      </c>
      <c r="C91" s="5">
        <v>6.87</v>
      </c>
      <c r="D91">
        <v>4.74</v>
      </c>
      <c r="E91" s="5">
        <v>7.42</v>
      </c>
      <c r="F91">
        <v>3.16</v>
      </c>
      <c r="G91" s="5">
        <v>5.83</v>
      </c>
      <c r="H91" s="5">
        <v>5.08</v>
      </c>
      <c r="I91" s="5">
        <v>7.66</v>
      </c>
      <c r="J91">
        <v>4.1500000000000004</v>
      </c>
      <c r="K91" s="5">
        <v>8.0299999999999994</v>
      </c>
      <c r="L91" s="5">
        <v>2.2999999999999998</v>
      </c>
      <c r="M91" s="5">
        <v>7.52</v>
      </c>
      <c r="O91">
        <v>6.4</v>
      </c>
    </row>
    <row r="92" spans="1:15" x14ac:dyDescent="0.2">
      <c r="J92">
        <f>5.08/J91</f>
        <v>1.2240963855421685</v>
      </c>
      <c r="K92">
        <f>K91/I91</f>
        <v>1.048302872062663</v>
      </c>
    </row>
    <row r="93" spans="1:15" x14ac:dyDescent="0.2">
      <c r="B93">
        <v>4.03</v>
      </c>
      <c r="C93">
        <v>4.74</v>
      </c>
      <c r="D93">
        <v>3.16</v>
      </c>
      <c r="E93" s="5">
        <v>5.08</v>
      </c>
      <c r="F93">
        <v>4.1500000000000004</v>
      </c>
      <c r="G93" s="5">
        <v>2.2999999999999998</v>
      </c>
    </row>
    <row r="94" spans="1:15" x14ac:dyDescent="0.2">
      <c r="B94" s="5">
        <v>6.87</v>
      </c>
      <c r="C94" s="5">
        <v>7.42</v>
      </c>
      <c r="D94" s="5">
        <v>5.83</v>
      </c>
      <c r="E94" s="5">
        <v>7.66</v>
      </c>
      <c r="F94" s="5">
        <v>8.0299999999999994</v>
      </c>
      <c r="G94" s="5">
        <v>7.52</v>
      </c>
    </row>
    <row r="95" spans="1:15" x14ac:dyDescent="0.2">
      <c r="B95">
        <f t="shared" ref="B95:G95" si="0">B93/B94</f>
        <v>0.58660844250363908</v>
      </c>
      <c r="C95">
        <f t="shared" si="0"/>
        <v>0.63881401617250677</v>
      </c>
      <c r="D95">
        <f t="shared" si="0"/>
        <v>0.54202401372212694</v>
      </c>
      <c r="E95">
        <f t="shared" si="0"/>
        <v>0.66318537859007831</v>
      </c>
      <c r="F95">
        <f t="shared" si="0"/>
        <v>0.51681195516811962</v>
      </c>
      <c r="G95">
        <f t="shared" si="0"/>
        <v>0.30585106382978722</v>
      </c>
    </row>
    <row r="96" spans="1:15" x14ac:dyDescent="0.2">
      <c r="E96" s="5"/>
      <c r="G96" s="5"/>
    </row>
    <row r="98" spans="1:17" x14ac:dyDescent="0.2">
      <c r="B98" s="1">
        <v>6</v>
      </c>
      <c r="C98" s="2">
        <v>7</v>
      </c>
      <c r="D98" s="2">
        <v>8</v>
      </c>
      <c r="E98" s="2">
        <v>9</v>
      </c>
      <c r="F98" s="2">
        <v>10</v>
      </c>
      <c r="G98" s="2">
        <v>11</v>
      </c>
      <c r="H98" s="2">
        <v>12</v>
      </c>
      <c r="I98" s="2">
        <v>13</v>
      </c>
      <c r="J98" s="2">
        <v>14</v>
      </c>
      <c r="K98" s="2">
        <v>15</v>
      </c>
      <c r="L98" s="2">
        <v>16</v>
      </c>
      <c r="M98" s="2">
        <v>17</v>
      </c>
      <c r="N98" s="2">
        <v>18</v>
      </c>
      <c r="O98" s="2">
        <v>19</v>
      </c>
      <c r="P98" s="2">
        <v>20</v>
      </c>
      <c r="Q98" s="3">
        <v>21</v>
      </c>
    </row>
    <row r="99" spans="1:17" x14ac:dyDescent="0.2">
      <c r="A99" s="34" t="s">
        <v>4</v>
      </c>
      <c r="B99" s="1"/>
      <c r="C99" s="2"/>
      <c r="D99" s="1">
        <v>0.18346253229974099</v>
      </c>
      <c r="E99" s="2">
        <v>0.47545219638242803</v>
      </c>
      <c r="F99" s="2">
        <v>0.55813953488372003</v>
      </c>
      <c r="G99" s="2">
        <v>0.34108527131782901</v>
      </c>
      <c r="H99" s="2">
        <v>0.26356589147286802</v>
      </c>
      <c r="I99" s="2">
        <v>0.26356589147286802</v>
      </c>
      <c r="J99" s="2">
        <v>0.209302325581395</v>
      </c>
      <c r="K99" s="2">
        <v>0.26098191214470201</v>
      </c>
      <c r="L99" s="2">
        <v>0.38242894056847498</v>
      </c>
      <c r="M99" s="2">
        <v>0.51421188630490899</v>
      </c>
      <c r="N99" s="2">
        <v>0.51421188630490899</v>
      </c>
      <c r="O99" s="2">
        <v>0.30232558139534799</v>
      </c>
      <c r="P99" s="2"/>
      <c r="Q99" s="3"/>
    </row>
    <row r="100" spans="1:17" x14ac:dyDescent="0.2">
      <c r="A100" s="34"/>
      <c r="B100" s="1">
        <v>6.3063063063062905E-2</v>
      </c>
      <c r="C100" s="2">
        <v>0.144144144144144</v>
      </c>
      <c r="D100" s="2">
        <v>0.273273273273273</v>
      </c>
      <c r="E100" s="2">
        <v>0.42342342342342298</v>
      </c>
      <c r="F100" s="2">
        <v>0.55555555555555503</v>
      </c>
      <c r="G100" s="2">
        <v>0.57957957957957895</v>
      </c>
      <c r="H100" s="2">
        <v>0.55555555555555503</v>
      </c>
      <c r="I100" s="2">
        <v>0.55255255255255198</v>
      </c>
      <c r="J100" s="2">
        <v>0.62162162162162105</v>
      </c>
      <c r="K100" s="2">
        <v>0.75675675675675602</v>
      </c>
      <c r="L100" s="2">
        <v>0.86186186186186098</v>
      </c>
      <c r="M100" s="2">
        <v>0.84984984984984902</v>
      </c>
      <c r="N100" s="2">
        <v>0.71471471471471404</v>
      </c>
      <c r="O100" s="2">
        <v>0.51651651651651598</v>
      </c>
      <c r="P100" s="2">
        <v>0.30630630630630601</v>
      </c>
      <c r="Q100" s="3">
        <v>0.13813813813813799</v>
      </c>
    </row>
    <row r="101" spans="1:17" x14ac:dyDescent="0.2">
      <c r="A101" s="34" t="s">
        <v>5</v>
      </c>
      <c r="B101" s="1"/>
      <c r="C101" s="2"/>
      <c r="D101" s="1">
        <v>0.208121827411167</v>
      </c>
      <c r="E101" s="2">
        <v>0.30203045685279101</v>
      </c>
      <c r="F101" s="2">
        <v>0.42639593908629397</v>
      </c>
      <c r="G101" s="2">
        <v>0.51776649746192804</v>
      </c>
      <c r="H101" s="2">
        <v>0.55837563451776595</v>
      </c>
      <c r="I101" s="2">
        <v>0.59898477157360397</v>
      </c>
      <c r="J101" s="2">
        <v>0.59390862944162404</v>
      </c>
      <c r="K101" s="2">
        <v>0.51522842639593902</v>
      </c>
      <c r="L101" s="2">
        <v>0.42131979695431399</v>
      </c>
      <c r="M101" s="2">
        <v>0.34517766497461899</v>
      </c>
      <c r="N101" s="2">
        <v>0.26142131979695399</v>
      </c>
      <c r="O101" s="2">
        <v>0.182741116751269</v>
      </c>
      <c r="P101" s="2"/>
      <c r="Q101" s="3"/>
    </row>
    <row r="102" spans="1:17" x14ac:dyDescent="0.2">
      <c r="A102" s="34"/>
      <c r="B102">
        <v>8.9020771513353095E-2</v>
      </c>
      <c r="C102">
        <v>0.15727002967358999</v>
      </c>
      <c r="D102">
        <v>0.27596439169139397</v>
      </c>
      <c r="E102">
        <v>0.42136498516320398</v>
      </c>
      <c r="F102">
        <v>0.55489614243323404</v>
      </c>
      <c r="G102">
        <v>0.63501483679525195</v>
      </c>
      <c r="H102">
        <v>0.63798219584569704</v>
      </c>
      <c r="I102">
        <v>0.62314540059347101</v>
      </c>
      <c r="J102">
        <v>0.66172106824925803</v>
      </c>
      <c r="K102">
        <v>0.78041543026706195</v>
      </c>
      <c r="L102">
        <v>0.89910979228486598</v>
      </c>
      <c r="M102">
        <v>0.93471810089020702</v>
      </c>
      <c r="N102" s="2">
        <v>0.833827893175074</v>
      </c>
      <c r="O102" s="2">
        <v>0.60830860534124598</v>
      </c>
      <c r="P102" s="2">
        <v>0.37091988130563802</v>
      </c>
      <c r="Q102" s="3">
        <v>0.18397626112759599</v>
      </c>
    </row>
    <row r="103" spans="1:17" x14ac:dyDescent="0.2">
      <c r="A103" s="34" t="s">
        <v>6</v>
      </c>
      <c r="B103" s="1"/>
      <c r="C103" s="2"/>
      <c r="D103" s="2">
        <v>9.0206185567010197E-2</v>
      </c>
      <c r="E103" s="2">
        <v>0.21134020618556601</v>
      </c>
      <c r="F103" s="2">
        <v>0.384020618556701</v>
      </c>
      <c r="G103" s="2">
        <v>0.38144329896907198</v>
      </c>
      <c r="H103" s="2">
        <v>0.30154639175257703</v>
      </c>
      <c r="I103" s="2">
        <v>0.51288659793814395</v>
      </c>
      <c r="J103" s="2">
        <v>0.47164948453608202</v>
      </c>
      <c r="K103" s="2">
        <v>0.21134020618556601</v>
      </c>
      <c r="L103" s="2">
        <v>0.20618556701030899</v>
      </c>
      <c r="M103" s="2">
        <v>0.20876288659793801</v>
      </c>
      <c r="N103" s="2">
        <v>0.182989690721649</v>
      </c>
      <c r="O103" s="2">
        <v>9.0206185567010197E-2</v>
      </c>
      <c r="P103" s="2"/>
      <c r="Q103" s="3"/>
    </row>
    <row r="104" spans="1:17" x14ac:dyDescent="0.2">
      <c r="A104" s="34"/>
      <c r="B104">
        <v>6.5281899109792194E-2</v>
      </c>
      <c r="C104">
        <v>0.14540059347181</v>
      </c>
      <c r="D104">
        <v>0.23738872403560801</v>
      </c>
      <c r="E104">
        <v>0.37388724035608301</v>
      </c>
      <c r="F104">
        <v>0.46587537091988102</v>
      </c>
      <c r="G104">
        <v>0.49258160237388698</v>
      </c>
      <c r="H104">
        <v>0.489614243323442</v>
      </c>
      <c r="I104">
        <v>0.47477744807121602</v>
      </c>
      <c r="J104">
        <v>0.51928783382789301</v>
      </c>
      <c r="K104">
        <v>0.61127596439169096</v>
      </c>
      <c r="L104">
        <v>0.70623145400593401</v>
      </c>
      <c r="M104">
        <v>0.72700296735905001</v>
      </c>
      <c r="N104" s="2">
        <v>0.62611275964391599</v>
      </c>
      <c r="O104" s="2">
        <v>0.45103857566765498</v>
      </c>
      <c r="P104" s="2">
        <v>0.27893175074183901</v>
      </c>
      <c r="Q104" s="3">
        <v>0.130563798219584</v>
      </c>
    </row>
    <row r="105" spans="1:17" x14ac:dyDescent="0.2">
      <c r="A105" s="34" t="s">
        <v>7</v>
      </c>
      <c r="B105" s="1"/>
      <c r="C105" s="2"/>
      <c r="D105">
        <v>0.126984126984127</v>
      </c>
      <c r="E105">
        <v>0.51322751322751303</v>
      </c>
      <c r="F105">
        <v>0.94708994708994698</v>
      </c>
      <c r="G105">
        <v>0.89153439153439096</v>
      </c>
      <c r="H105">
        <v>0.55555555555555503</v>
      </c>
      <c r="I105">
        <v>0.38095238095237999</v>
      </c>
      <c r="J105">
        <v>0.37830687830687798</v>
      </c>
      <c r="K105">
        <v>0.33862433862433799</v>
      </c>
      <c r="L105">
        <v>0.26190476190476097</v>
      </c>
      <c r="M105">
        <v>0.26190476190476097</v>
      </c>
      <c r="N105">
        <v>0.38095238095237999</v>
      </c>
      <c r="O105">
        <v>0.206349206349206</v>
      </c>
      <c r="P105" s="2"/>
      <c r="Q105" s="3"/>
    </row>
    <row r="106" spans="1:17" x14ac:dyDescent="0.2">
      <c r="A106" s="34"/>
      <c r="B106" s="1">
        <v>8.9552238805970005E-2</v>
      </c>
      <c r="C106" s="2">
        <v>0.2</v>
      </c>
      <c r="D106" s="2">
        <v>0.361194029850746</v>
      </c>
      <c r="E106" s="2">
        <v>0.53134328358208904</v>
      </c>
      <c r="F106" s="2">
        <v>0.66865671641791002</v>
      </c>
      <c r="G106" s="2">
        <v>0.70149253731343197</v>
      </c>
      <c r="H106" s="2">
        <v>0.65373134328358196</v>
      </c>
      <c r="I106" s="2">
        <v>0.61194029850746201</v>
      </c>
      <c r="J106" s="2">
        <v>0.65074626865671603</v>
      </c>
      <c r="K106" s="2">
        <v>0.77014925373134302</v>
      </c>
      <c r="L106" s="2">
        <v>0.88955223880597001</v>
      </c>
      <c r="M106" s="2">
        <v>0.916417910447761</v>
      </c>
      <c r="N106" s="2">
        <v>0.79701492537313401</v>
      </c>
      <c r="O106" s="2">
        <v>0.58507462686567102</v>
      </c>
      <c r="P106" s="2">
        <v>0.34626865671641699</v>
      </c>
      <c r="Q106" s="3">
        <v>0.155223880597015</v>
      </c>
    </row>
    <row r="107" spans="1:17" x14ac:dyDescent="0.2">
      <c r="A107" s="34" t="s">
        <v>3</v>
      </c>
      <c r="B107" s="1"/>
      <c r="C107" s="2"/>
      <c r="D107" s="2">
        <v>4.4502617801047098E-2</v>
      </c>
      <c r="E107" s="2">
        <v>0.25916230366492099</v>
      </c>
      <c r="F107" s="2">
        <v>0.65183246073298395</v>
      </c>
      <c r="G107" s="2">
        <v>0.649214659685863</v>
      </c>
      <c r="H107" s="2">
        <v>0.38481675392670101</v>
      </c>
      <c r="I107" s="2">
        <v>0.34293193717277398</v>
      </c>
      <c r="J107" s="2">
        <v>0.38481675392670101</v>
      </c>
      <c r="K107" s="2">
        <v>0.30104712041884801</v>
      </c>
      <c r="L107" s="2">
        <v>0.206806282722512</v>
      </c>
      <c r="M107" s="2">
        <v>0.34031413612565398</v>
      </c>
      <c r="N107" s="2">
        <v>0.47643979057591601</v>
      </c>
      <c r="O107" s="2">
        <v>0.261780104712041</v>
      </c>
      <c r="P107" s="2"/>
      <c r="Q107" s="3"/>
    </row>
    <row r="108" spans="1:17" x14ac:dyDescent="0.2">
      <c r="A108" s="34"/>
      <c r="B108" s="1">
        <v>0.11480362537764301</v>
      </c>
      <c r="C108" s="2">
        <v>0.21752265861027101</v>
      </c>
      <c r="D108" s="2">
        <v>0.36858006042295999</v>
      </c>
      <c r="E108" s="2">
        <v>0.51661631419939502</v>
      </c>
      <c r="F108" s="2">
        <v>0.65558912386706902</v>
      </c>
      <c r="G108" s="2">
        <v>0.70694864048338302</v>
      </c>
      <c r="H108" s="2">
        <v>0.71601208459214405</v>
      </c>
      <c r="I108" s="2">
        <v>0.73111782477341303</v>
      </c>
      <c r="J108" s="2">
        <v>0.77341389728096599</v>
      </c>
      <c r="K108" s="2">
        <v>0.83685800604229599</v>
      </c>
      <c r="L108" s="2">
        <v>0.90634441087613304</v>
      </c>
      <c r="M108" s="2">
        <v>0.89425981873111704</v>
      </c>
      <c r="N108" s="2">
        <v>0.80060422960724997</v>
      </c>
      <c r="O108" s="2">
        <v>0.61027190332326198</v>
      </c>
      <c r="P108" s="2">
        <v>0.39577039274924403</v>
      </c>
      <c r="Q108" s="3">
        <v>0.22054380664652501</v>
      </c>
    </row>
    <row r="109" spans="1:17" x14ac:dyDescent="0.2">
      <c r="A109" s="34" t="s">
        <v>8</v>
      </c>
      <c r="E109" s="1">
        <v>0.30215827338129497</v>
      </c>
      <c r="F109" s="2">
        <v>0.213429256594724</v>
      </c>
      <c r="G109" s="2">
        <v>0.13429256594724201</v>
      </c>
      <c r="H109" s="2">
        <v>0.211031175059952</v>
      </c>
      <c r="I109" s="2">
        <v>0.26618705035971202</v>
      </c>
      <c r="J109" s="2">
        <v>0.211031175059952</v>
      </c>
      <c r="K109" s="2">
        <v>0.208633093525179</v>
      </c>
      <c r="L109" s="2">
        <v>0.26618705035971202</v>
      </c>
      <c r="M109" s="2">
        <v>0.26139088729016702</v>
      </c>
      <c r="N109" s="2">
        <v>0.184652278177458</v>
      </c>
      <c r="O109" s="2">
        <v>9.11270983213429E-2</v>
      </c>
      <c r="P109" s="2"/>
      <c r="Q109" s="3"/>
    </row>
    <row r="110" spans="1:17" x14ac:dyDescent="0.2">
      <c r="A110" s="34"/>
      <c r="B110" s="1">
        <v>0.103857566765578</v>
      </c>
      <c r="C110" s="2">
        <v>0.21068249258160199</v>
      </c>
      <c r="D110" s="2">
        <v>0.344213649851632</v>
      </c>
      <c r="E110" s="2">
        <v>0.51928783382789301</v>
      </c>
      <c r="F110" s="2">
        <v>0.66172106824925803</v>
      </c>
      <c r="G110" s="2">
        <v>0.76854599406528201</v>
      </c>
      <c r="H110" s="2">
        <v>0.79821958456973297</v>
      </c>
      <c r="I110" s="2">
        <v>0.771513353115727</v>
      </c>
      <c r="J110" s="2">
        <v>0.70623145400593401</v>
      </c>
      <c r="K110" s="2">
        <v>0.67655786350148295</v>
      </c>
      <c r="L110" s="2">
        <v>0.688427299703264</v>
      </c>
      <c r="M110" s="2">
        <v>0.73887240356083095</v>
      </c>
      <c r="N110" s="2">
        <v>0.71513353115726996</v>
      </c>
      <c r="O110" s="2">
        <v>0.61127596439169096</v>
      </c>
      <c r="P110" s="2">
        <v>0.42433234421364902</v>
      </c>
      <c r="Q110" s="3">
        <v>0.22255192878338201</v>
      </c>
    </row>
    <row r="111" spans="1:17" x14ac:dyDescent="0.2">
      <c r="A111" s="6"/>
    </row>
    <row r="112" spans="1:17" x14ac:dyDescent="0.2">
      <c r="B112" s="1">
        <v>6.3253012048192697E-2</v>
      </c>
      <c r="C112" s="2">
        <v>0.14156626506024</v>
      </c>
      <c r="D112" s="2">
        <v>0.234939759036144</v>
      </c>
      <c r="E112" s="2">
        <v>0.358433734939759</v>
      </c>
      <c r="F112" s="2">
        <v>0.451807228915662</v>
      </c>
      <c r="G112" s="2">
        <v>0.52108433734939696</v>
      </c>
      <c r="H112" s="2">
        <v>0.55722891566264998</v>
      </c>
      <c r="I112" s="2">
        <v>0.58433734939758997</v>
      </c>
      <c r="J112" s="2">
        <v>0.63554216867469804</v>
      </c>
      <c r="K112" s="2">
        <v>0.70481927710843295</v>
      </c>
      <c r="L112" s="2">
        <v>0.77108433734939696</v>
      </c>
      <c r="M112" s="2">
        <v>0.76807228915662595</v>
      </c>
      <c r="N112" s="2">
        <v>0.68072289156626498</v>
      </c>
      <c r="O112" s="2">
        <v>0.50301204819277101</v>
      </c>
      <c r="P112" s="2">
        <v>0.31927710843373402</v>
      </c>
      <c r="Q112" s="3">
        <v>0.156626506024096</v>
      </c>
    </row>
    <row r="113" spans="1:34" x14ac:dyDescent="0.2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3"/>
    </row>
    <row r="114" spans="1:34" x14ac:dyDescent="0.2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3"/>
    </row>
    <row r="115" spans="1:34" x14ac:dyDescent="0.2">
      <c r="B115" s="1">
        <v>6</v>
      </c>
      <c r="C115" s="2">
        <v>7</v>
      </c>
      <c r="D115" s="2">
        <v>8</v>
      </c>
      <c r="E115" s="2">
        <v>9</v>
      </c>
      <c r="F115" s="2">
        <v>10</v>
      </c>
      <c r="G115" s="2">
        <v>11</v>
      </c>
      <c r="H115" s="2">
        <v>12</v>
      </c>
      <c r="I115" s="2">
        <v>13</v>
      </c>
      <c r="J115" s="2">
        <v>14</v>
      </c>
      <c r="K115" s="2">
        <v>15</v>
      </c>
      <c r="L115" s="2">
        <v>16</v>
      </c>
      <c r="M115" s="2">
        <v>17</v>
      </c>
      <c r="N115" s="2">
        <v>18</v>
      </c>
      <c r="O115" s="2">
        <v>19</v>
      </c>
      <c r="P115" s="2"/>
      <c r="Q115" s="3"/>
      <c r="T115" s="8">
        <v>8</v>
      </c>
      <c r="U115" s="8">
        <v>9</v>
      </c>
      <c r="V115" s="8">
        <v>10</v>
      </c>
      <c r="W115" s="8">
        <v>11</v>
      </c>
      <c r="X115" s="8">
        <v>12</v>
      </c>
      <c r="Y115" s="8">
        <v>13</v>
      </c>
      <c r="Z115" s="8">
        <v>14</v>
      </c>
      <c r="AA115" s="8">
        <v>15</v>
      </c>
      <c r="AB115" s="8">
        <v>16</v>
      </c>
      <c r="AC115" s="8">
        <v>17</v>
      </c>
      <c r="AD115" s="8">
        <v>18</v>
      </c>
      <c r="AE115" s="8">
        <v>19</v>
      </c>
      <c r="AF115" s="33"/>
      <c r="AG115" s="33"/>
      <c r="AH115" s="33"/>
    </row>
    <row r="116" spans="1:34" ht="16" customHeight="1" x14ac:dyDescent="0.2">
      <c r="A116" t="s">
        <v>4</v>
      </c>
      <c r="D116" s="4">
        <f>D99/D100</f>
        <v>0.67135190391004185</v>
      </c>
      <c r="E116" s="4">
        <f t="shared" ref="E116:O116" si="1">E99/E100</f>
        <v>1.1228764637967992</v>
      </c>
      <c r="F116" s="4">
        <f t="shared" si="1"/>
        <v>1.0046511627906971</v>
      </c>
      <c r="G116" s="4">
        <f t="shared" si="1"/>
        <v>0.58850463911314599</v>
      </c>
      <c r="H116" s="4">
        <f t="shared" si="1"/>
        <v>0.47441860465116287</v>
      </c>
      <c r="I116" s="4">
        <f t="shared" si="1"/>
        <v>0.4769969666329627</v>
      </c>
      <c r="J116" s="4">
        <f t="shared" si="1"/>
        <v>0.3367037411526792</v>
      </c>
      <c r="K116" s="4">
        <f t="shared" si="1"/>
        <v>0.34486895533407086</v>
      </c>
      <c r="L116" s="4">
        <f t="shared" si="1"/>
        <v>0.44372417146098364</v>
      </c>
      <c r="M116" s="4">
        <f t="shared" si="1"/>
        <v>0.60506204289588295</v>
      </c>
      <c r="N116" s="4">
        <f t="shared" si="1"/>
        <v>0.71946452999804567</v>
      </c>
      <c r="O116" s="4">
        <f t="shared" si="1"/>
        <v>0.58531638723634294</v>
      </c>
      <c r="P116" s="7">
        <f t="shared" ref="P116:P121" si="2">AVERAGE(D116:O116)</f>
        <v>0.61449496408106785</v>
      </c>
      <c r="S116" s="9" t="s">
        <v>4</v>
      </c>
      <c r="T116" s="10">
        <v>0.67135190391004185</v>
      </c>
      <c r="U116" s="10">
        <v>1.1228764637967992</v>
      </c>
      <c r="V116" s="10">
        <v>1.0046511627906971</v>
      </c>
      <c r="W116" s="10">
        <v>0.58850463911314599</v>
      </c>
      <c r="X116" s="10">
        <v>0.47441860465116287</v>
      </c>
      <c r="Y116" s="10">
        <v>0.4769969666329627</v>
      </c>
      <c r="Z116" s="10">
        <v>0.3367037411526792</v>
      </c>
      <c r="AA116" s="10">
        <v>0.34486895533407086</v>
      </c>
      <c r="AB116" s="10">
        <v>0.44372417146098364</v>
      </c>
      <c r="AC116" s="10">
        <v>0.60506204289588295</v>
      </c>
      <c r="AD116" s="10">
        <v>0.71946452999804567</v>
      </c>
      <c r="AE116" s="10">
        <v>0.58531638723634294</v>
      </c>
      <c r="AF116" s="10"/>
      <c r="AG116" s="10"/>
      <c r="AH116" s="4">
        <f t="shared" ref="AH116:AH121" si="3">AVERAGE(T116:AE116)</f>
        <v>0.61449496408106785</v>
      </c>
    </row>
    <row r="117" spans="1:34" x14ac:dyDescent="0.2">
      <c r="A117" t="s">
        <v>5</v>
      </c>
      <c r="D117" s="4">
        <f>D101/D102</f>
        <v>0.75416189072648876</v>
      </c>
      <c r="E117" s="4">
        <f t="shared" ref="E117:O117" si="4">E101/E102</f>
        <v>0.71679059126331524</v>
      </c>
      <c r="F117" s="4">
        <f t="shared" si="4"/>
        <v>0.76842476723038056</v>
      </c>
      <c r="G117" s="4">
        <f t="shared" si="4"/>
        <v>0.81536126002182163</v>
      </c>
      <c r="H117" s="4">
        <f t="shared" si="4"/>
        <v>0.87522134340691726</v>
      </c>
      <c r="I117" s="4">
        <f t="shared" si="4"/>
        <v>0.9612279429538324</v>
      </c>
      <c r="J117" s="4">
        <f t="shared" si="4"/>
        <v>0.89752111265393431</v>
      </c>
      <c r="K117" s="4">
        <f t="shared" si="4"/>
        <v>0.66019764142749626</v>
      </c>
      <c r="L117" s="4">
        <f t="shared" si="4"/>
        <v>0.46859660585347818</v>
      </c>
      <c r="M117" s="4">
        <f t="shared" si="4"/>
        <v>0.3692853114172911</v>
      </c>
      <c r="N117" s="4">
        <f t="shared" si="4"/>
        <v>0.31351951876004808</v>
      </c>
      <c r="O117" s="4">
        <f t="shared" si="4"/>
        <v>0.3004085675374521</v>
      </c>
      <c r="P117" s="7">
        <f t="shared" si="2"/>
        <v>0.65839304610437122</v>
      </c>
      <c r="S117" s="9" t="s">
        <v>5</v>
      </c>
      <c r="T117" s="10">
        <v>0.75416189072648876</v>
      </c>
      <c r="U117" s="10">
        <v>0.71679059126331524</v>
      </c>
      <c r="V117" s="10">
        <v>0.76842476723038056</v>
      </c>
      <c r="W117" s="10">
        <v>0.81536126002182163</v>
      </c>
      <c r="X117" s="10">
        <v>0.87522134340691726</v>
      </c>
      <c r="Y117" s="10">
        <v>0.9612279429538324</v>
      </c>
      <c r="Z117" s="10">
        <v>0.89752111265393431</v>
      </c>
      <c r="AA117" s="10">
        <v>0.66019764142749626</v>
      </c>
      <c r="AB117" s="10">
        <v>0.46859660585347818</v>
      </c>
      <c r="AC117" s="10">
        <v>0.3692853114172911</v>
      </c>
      <c r="AD117" s="10">
        <v>0.31351951876004808</v>
      </c>
      <c r="AE117" s="10">
        <v>0.3004085675374521</v>
      </c>
      <c r="AF117" s="10"/>
      <c r="AG117" s="10"/>
      <c r="AH117" s="4">
        <f t="shared" si="3"/>
        <v>0.65839304610437122</v>
      </c>
    </row>
    <row r="118" spans="1:34" x14ac:dyDescent="0.2">
      <c r="A118" t="s">
        <v>6</v>
      </c>
      <c r="D118" s="4">
        <f>D103/D104</f>
        <v>0.37999355670103091</v>
      </c>
      <c r="E118" s="4">
        <f t="shared" ref="E118:O118" si="5">E103/E104</f>
        <v>0.56525118638520444</v>
      </c>
      <c r="F118" s="4">
        <f t="shared" si="5"/>
        <v>0.82429903473635868</v>
      </c>
      <c r="G118" s="4">
        <f t="shared" si="5"/>
        <v>0.77437585393118868</v>
      </c>
      <c r="H118" s="4">
        <f t="shared" si="5"/>
        <v>0.61588566073102113</v>
      </c>
      <c r="I118" s="4">
        <f t="shared" si="5"/>
        <v>1.080267396907217</v>
      </c>
      <c r="J118" s="4">
        <f t="shared" si="5"/>
        <v>0.9082621502209125</v>
      </c>
      <c r="K118" s="4">
        <f t="shared" si="5"/>
        <v>0.34573616254629025</v>
      </c>
      <c r="L118" s="4">
        <f t="shared" si="5"/>
        <v>0.29195183227930338</v>
      </c>
      <c r="M118" s="4">
        <f t="shared" si="5"/>
        <v>0.2871554807490006</v>
      </c>
      <c r="N118" s="4">
        <f t="shared" si="5"/>
        <v>0.29226315532320285</v>
      </c>
      <c r="O118" s="4">
        <f t="shared" si="5"/>
        <v>0.19999660879001638</v>
      </c>
      <c r="P118" s="7">
        <f t="shared" si="2"/>
        <v>0.54711983994172886</v>
      </c>
      <c r="S118" s="9" t="s">
        <v>6</v>
      </c>
      <c r="T118" s="10">
        <v>0.37999355670103091</v>
      </c>
      <c r="U118" s="10">
        <v>0.56525118638520444</v>
      </c>
      <c r="V118" s="10">
        <v>0.82429903473635868</v>
      </c>
      <c r="W118" s="10">
        <v>0.77437585393118868</v>
      </c>
      <c r="X118" s="10">
        <v>0.61588566073102113</v>
      </c>
      <c r="Y118" s="10">
        <v>1.080267396907217</v>
      </c>
      <c r="Z118" s="10">
        <v>0.9082621502209125</v>
      </c>
      <c r="AA118" s="10">
        <v>0.34573616254629025</v>
      </c>
      <c r="AB118" s="10">
        <v>0.29195183227930338</v>
      </c>
      <c r="AC118" s="10">
        <v>0.2871554807490006</v>
      </c>
      <c r="AD118" s="10">
        <v>0.29226315532320285</v>
      </c>
      <c r="AE118" s="10">
        <v>0.19999660879001638</v>
      </c>
      <c r="AF118" s="10"/>
      <c r="AG118" s="10"/>
      <c r="AH118" s="4">
        <f t="shared" si="3"/>
        <v>0.54711983994172886</v>
      </c>
    </row>
    <row r="119" spans="1:34" x14ac:dyDescent="0.2">
      <c r="A119" t="s">
        <v>9</v>
      </c>
      <c r="D119" s="4">
        <f t="shared" ref="D119:O119" si="6">D105/D106</f>
        <v>0.35156762429489735</v>
      </c>
      <c r="E119" s="4">
        <f t="shared" si="6"/>
        <v>0.9659057130967249</v>
      </c>
      <c r="F119" s="4">
        <f t="shared" si="6"/>
        <v>1.416406840513984</v>
      </c>
      <c r="G119" s="4">
        <f t="shared" si="6"/>
        <v>1.2709107283575376</v>
      </c>
      <c r="H119" s="4">
        <f t="shared" si="6"/>
        <v>0.84982242516489026</v>
      </c>
      <c r="I119" s="4">
        <f t="shared" si="6"/>
        <v>0.62253193960510944</v>
      </c>
      <c r="J119" s="4">
        <f t="shared" si="6"/>
        <v>0.58134313868258802</v>
      </c>
      <c r="K119" s="4">
        <f t="shared" si="6"/>
        <v>0.43968664123702816</v>
      </c>
      <c r="L119" s="4">
        <f t="shared" si="6"/>
        <v>0.29442313838286893</v>
      </c>
      <c r="M119" s="4">
        <f t="shared" si="6"/>
        <v>0.28579184116643302</v>
      </c>
      <c r="N119" s="4">
        <f t="shared" si="6"/>
        <v>0.47797396112002749</v>
      </c>
      <c r="O119" s="4">
        <f t="shared" si="6"/>
        <v>0.352688694525429</v>
      </c>
      <c r="P119" s="7">
        <f t="shared" si="2"/>
        <v>0.65908772384562653</v>
      </c>
      <c r="S119" s="9" t="s">
        <v>9</v>
      </c>
      <c r="T119" s="10">
        <v>0.35156762429489735</v>
      </c>
      <c r="U119" s="10">
        <v>0.9659057130967249</v>
      </c>
      <c r="V119" s="10">
        <v>1.416406840513984</v>
      </c>
      <c r="W119" s="10">
        <v>1.2709107283575376</v>
      </c>
      <c r="X119" s="10">
        <v>0.84982242516489026</v>
      </c>
      <c r="Y119" s="10">
        <v>0.62253193960510944</v>
      </c>
      <c r="Z119" s="10">
        <v>0.58134313868258802</v>
      </c>
      <c r="AA119" s="10">
        <v>0.43968664123702816</v>
      </c>
      <c r="AB119" s="10">
        <v>0.29442313838286893</v>
      </c>
      <c r="AC119" s="10">
        <v>0.28579184116643302</v>
      </c>
      <c r="AD119" s="10">
        <v>0.47797396112002749</v>
      </c>
      <c r="AE119" s="10">
        <v>0.352688694525429</v>
      </c>
      <c r="AF119" s="10"/>
      <c r="AG119" s="10"/>
      <c r="AH119" s="4">
        <f t="shared" si="3"/>
        <v>0.65908772384562653</v>
      </c>
    </row>
    <row r="120" spans="1:34" x14ac:dyDescent="0.2">
      <c r="A120" t="s">
        <v>3</v>
      </c>
      <c r="D120" s="4">
        <f t="shared" ref="D120:O120" si="7">D107/D108</f>
        <v>0.12074070895202146</v>
      </c>
      <c r="E120" s="4">
        <f t="shared" si="7"/>
        <v>0.50165334802976003</v>
      </c>
      <c r="F120" s="4">
        <f t="shared" si="7"/>
        <v>0.99426979033464447</v>
      </c>
      <c r="G120" s="4">
        <f t="shared" si="7"/>
        <v>0.91833355707701225</v>
      </c>
      <c r="H120" s="4">
        <f t="shared" si="7"/>
        <v>0.53744449599045652</v>
      </c>
      <c r="I120" s="4">
        <f t="shared" si="7"/>
        <v>0.46905153390160464</v>
      </c>
      <c r="J120" s="4">
        <f t="shared" si="7"/>
        <v>0.49755603730366471</v>
      </c>
      <c r="K120" s="4">
        <f t="shared" si="7"/>
        <v>0.35973500670988701</v>
      </c>
      <c r="L120" s="4">
        <f t="shared" si="7"/>
        <v>0.22817626527050489</v>
      </c>
      <c r="M120" s="4">
        <f t="shared" si="7"/>
        <v>0.3805539833026742</v>
      </c>
      <c r="N120" s="4">
        <f t="shared" si="7"/>
        <v>0.59510026671935223</v>
      </c>
      <c r="O120" s="4">
        <f t="shared" si="7"/>
        <v>0.4289565082162658</v>
      </c>
      <c r="P120" s="7">
        <f t="shared" si="2"/>
        <v>0.50263095848398731</v>
      </c>
      <c r="S120" s="9" t="s">
        <v>3</v>
      </c>
      <c r="T120" s="10">
        <v>0.12074070895202146</v>
      </c>
      <c r="U120" s="10">
        <v>0.50165334802976003</v>
      </c>
      <c r="V120" s="10">
        <v>0.99426979033464447</v>
      </c>
      <c r="W120" s="10">
        <v>0.91833355707701225</v>
      </c>
      <c r="X120" s="10">
        <v>0.53744449599045652</v>
      </c>
      <c r="Y120" s="10">
        <v>0.46905153390160464</v>
      </c>
      <c r="Z120" s="10">
        <v>0.49755603730366471</v>
      </c>
      <c r="AA120" s="10">
        <v>0.35973500670988701</v>
      </c>
      <c r="AB120" s="10">
        <v>0.22817626527050489</v>
      </c>
      <c r="AC120" s="10">
        <v>0.3805539833026742</v>
      </c>
      <c r="AD120" s="10">
        <v>0.59510026671935223</v>
      </c>
      <c r="AE120" s="10">
        <v>0.4289565082162658</v>
      </c>
      <c r="AF120" s="10"/>
      <c r="AG120" s="10"/>
      <c r="AH120" s="4">
        <f t="shared" si="3"/>
        <v>0.50263095848398731</v>
      </c>
    </row>
    <row r="121" spans="1:34" x14ac:dyDescent="0.2">
      <c r="A121" t="s">
        <v>8</v>
      </c>
      <c r="D121" s="4">
        <f t="shared" ref="D121:O121" si="8">D109/D110</f>
        <v>0</v>
      </c>
      <c r="E121" s="4">
        <f t="shared" si="8"/>
        <v>0.58187050359712256</v>
      </c>
      <c r="F121" s="4">
        <f t="shared" si="8"/>
        <v>0.32253658956243053</v>
      </c>
      <c r="G121" s="4">
        <f t="shared" si="8"/>
        <v>0.17473588696610251</v>
      </c>
      <c r="H121" s="4">
        <f t="shared" si="8"/>
        <v>0.26437734570707738</v>
      </c>
      <c r="I121" s="4">
        <f t="shared" si="8"/>
        <v>0.34501936912008829</v>
      </c>
      <c r="J121" s="4">
        <f t="shared" si="8"/>
        <v>0.29881305040001638</v>
      </c>
      <c r="K121" s="4">
        <f t="shared" si="8"/>
        <v>0.30837435314905876</v>
      </c>
      <c r="L121" s="4">
        <f t="shared" si="8"/>
        <v>0.38665963780699553</v>
      </c>
      <c r="M121" s="4">
        <f t="shared" si="8"/>
        <v>0.35376999605135051</v>
      </c>
      <c r="N121" s="4">
        <f t="shared" si="8"/>
        <v>0.25820671263818817</v>
      </c>
      <c r="O121" s="4">
        <f t="shared" si="8"/>
        <v>0.14907685502083776</v>
      </c>
      <c r="P121" s="7">
        <f t="shared" si="2"/>
        <v>0.28695335833493901</v>
      </c>
      <c r="S121" s="9" t="s">
        <v>8</v>
      </c>
      <c r="T121" s="10">
        <v>0</v>
      </c>
      <c r="U121" s="10">
        <v>0.58187050359712256</v>
      </c>
      <c r="V121" s="10">
        <v>0.32253658956243053</v>
      </c>
      <c r="W121" s="10">
        <v>0.17473588696610251</v>
      </c>
      <c r="X121" s="10">
        <v>0.26437734570707738</v>
      </c>
      <c r="Y121" s="10">
        <v>0.34501936912008829</v>
      </c>
      <c r="Z121" s="10">
        <v>0.29881305040001638</v>
      </c>
      <c r="AA121" s="10">
        <v>0.30837435314905876</v>
      </c>
      <c r="AB121" s="10">
        <v>0.38665963780699553</v>
      </c>
      <c r="AC121" s="10">
        <v>0.35376999605135051</v>
      </c>
      <c r="AD121" s="10">
        <v>0.25820671263818817</v>
      </c>
      <c r="AE121" s="10">
        <v>0.14907685502083776</v>
      </c>
      <c r="AF121" s="10"/>
      <c r="AG121" s="10"/>
      <c r="AH121" s="4">
        <f t="shared" si="3"/>
        <v>0.28695335833493901</v>
      </c>
    </row>
    <row r="122" spans="1:34" x14ac:dyDescent="0.2">
      <c r="D122" s="7">
        <f>AVERAGE(D116:D121)</f>
        <v>0.37963594743074675</v>
      </c>
      <c r="E122" s="7">
        <f t="shared" ref="E122:O122" si="9">AVERAGE(E116:E121)</f>
        <v>0.74239130102815443</v>
      </c>
      <c r="F122" s="7">
        <f t="shared" si="9"/>
        <v>0.88843136419474933</v>
      </c>
      <c r="G122" s="7">
        <f t="shared" si="9"/>
        <v>0.75703698757780147</v>
      </c>
      <c r="H122" s="7">
        <f t="shared" si="9"/>
        <v>0.60286164594192093</v>
      </c>
      <c r="I122" s="7">
        <f t="shared" si="9"/>
        <v>0.65918252485346907</v>
      </c>
      <c r="J122" s="7">
        <f t="shared" si="9"/>
        <v>0.58669987173563254</v>
      </c>
      <c r="K122" s="7">
        <f t="shared" si="9"/>
        <v>0.40976646006730522</v>
      </c>
      <c r="L122" s="7">
        <f t="shared" si="9"/>
        <v>0.35225527517568905</v>
      </c>
      <c r="M122" s="7">
        <f t="shared" si="9"/>
        <v>0.38026977593043876</v>
      </c>
      <c r="N122" s="7">
        <f t="shared" si="9"/>
        <v>0.44275469075981072</v>
      </c>
      <c r="O122" s="7">
        <f t="shared" si="9"/>
        <v>0.33607393688772408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4" x14ac:dyDescent="0.2"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</sheetData>
  <mergeCells count="18">
    <mergeCell ref="AF115:AH115"/>
    <mergeCell ref="A107:A108"/>
    <mergeCell ref="A109:A110"/>
    <mergeCell ref="L90:M90"/>
    <mergeCell ref="A99:A100"/>
    <mergeCell ref="A105:A106"/>
    <mergeCell ref="A101:A102"/>
    <mergeCell ref="A103:A104"/>
    <mergeCell ref="J73:K73"/>
    <mergeCell ref="B73:C73"/>
    <mergeCell ref="J90:K90"/>
    <mergeCell ref="B90:C90"/>
    <mergeCell ref="D90:E90"/>
    <mergeCell ref="D73:E73"/>
    <mergeCell ref="F73:G73"/>
    <mergeCell ref="F90:G90"/>
    <mergeCell ref="H73:I73"/>
    <mergeCell ref="H90:I90"/>
  </mergeCells>
  <conditionalFormatting sqref="D116:O121">
    <cfRule type="colorScale" priority="5">
      <colorScale>
        <cfvo type="min"/>
        <cfvo type="max"/>
        <color rgb="FFFCFCFF"/>
        <color rgb="FF63BE7B"/>
      </colorScale>
    </cfRule>
  </conditionalFormatting>
  <conditionalFormatting sqref="T116:AG123">
    <cfRule type="colorScale" priority="1">
      <colorScale>
        <cfvo type="min"/>
        <cfvo type="max"/>
        <color rgb="FFFCFCFF"/>
        <color theme="4"/>
      </colorScale>
    </cfRule>
  </conditionalFormatting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2"/>
  <sheetViews>
    <sheetView showGridLines="0" topLeftCell="A56" zoomScale="120" zoomScaleNormal="120" workbookViewId="0">
      <selection activeCell="B42" sqref="B42"/>
    </sheetView>
  </sheetViews>
  <sheetFormatPr baseColWidth="10" defaultRowHeight="16" x14ac:dyDescent="0.2"/>
  <cols>
    <col min="9" max="9" width="10.1640625" customWidth="1"/>
    <col min="19" max="31" width="2.83203125" customWidth="1"/>
  </cols>
  <sheetData>
    <row r="1" spans="1:32" x14ac:dyDescent="0.2">
      <c r="C1" t="s">
        <v>4</v>
      </c>
      <c r="E1" t="s">
        <v>5</v>
      </c>
      <c r="G1" t="s">
        <v>6</v>
      </c>
      <c r="I1" t="s">
        <v>2</v>
      </c>
      <c r="K1" t="s">
        <v>3</v>
      </c>
      <c r="M1" t="s">
        <v>8</v>
      </c>
    </row>
    <row r="3" spans="1:32" x14ac:dyDescent="0.2">
      <c r="A3" s="1">
        <v>6</v>
      </c>
    </row>
    <row r="4" spans="1:32" x14ac:dyDescent="0.2">
      <c r="A4" s="2">
        <v>7</v>
      </c>
      <c r="C4">
        <v>0.23513513513513501</v>
      </c>
      <c r="E4">
        <v>0.27559055118110198</v>
      </c>
      <c r="G4">
        <v>0.23641304347826</v>
      </c>
      <c r="I4">
        <v>0.37270341207349</v>
      </c>
      <c r="K4">
        <v>0.278215223097112</v>
      </c>
      <c r="M4">
        <v>0.30213903743315501</v>
      </c>
      <c r="X4" t="s">
        <v>10</v>
      </c>
      <c r="Y4" t="s">
        <v>11</v>
      </c>
    </row>
    <row r="5" spans="1:32" x14ac:dyDescent="0.2">
      <c r="A5" s="2">
        <v>8</v>
      </c>
      <c r="B5">
        <v>0.33249370277078</v>
      </c>
      <c r="C5">
        <v>0.42432432432432399</v>
      </c>
      <c r="D5">
        <v>0.45137157107231901</v>
      </c>
      <c r="E5">
        <v>0.43832020997375298</v>
      </c>
      <c r="F5">
        <v>0.17249999999999899</v>
      </c>
      <c r="G5">
        <v>0.372282608695652</v>
      </c>
      <c r="H5">
        <v>0.27999999999999903</v>
      </c>
      <c r="I5">
        <v>0.60892388451443502</v>
      </c>
      <c r="J5">
        <v>0.4</v>
      </c>
      <c r="K5">
        <v>0.488188976377952</v>
      </c>
      <c r="M5">
        <v>0.489304812834224</v>
      </c>
      <c r="O5">
        <v>0.33333333333333298</v>
      </c>
      <c r="Q5">
        <f>AVERAGE(C5,E5,G5,I5,K5)</f>
        <v>0.46640800077722322</v>
      </c>
      <c r="R5">
        <f>Q5*1.9</f>
        <v>0.88617520147672413</v>
      </c>
      <c r="X5">
        <v>0.61715749039692702</v>
      </c>
      <c r="Y5">
        <v>0.593350383631713</v>
      </c>
      <c r="AF5">
        <f>Y5/X5</f>
        <v>0.96142458426632338</v>
      </c>
    </row>
    <row r="6" spans="1:32" x14ac:dyDescent="0.2">
      <c r="A6" s="2">
        <v>9</v>
      </c>
      <c r="B6">
        <v>0.49118387909319799</v>
      </c>
      <c r="C6">
        <v>0.61081081081081001</v>
      </c>
      <c r="D6">
        <v>0.71321695760598403</v>
      </c>
      <c r="E6">
        <v>0.59580052493438296</v>
      </c>
      <c r="F6">
        <v>0.48999999999999899</v>
      </c>
      <c r="G6">
        <v>0.49184782608695599</v>
      </c>
      <c r="H6">
        <v>0.45499999999999902</v>
      </c>
      <c r="I6">
        <v>0.75853018372703396</v>
      </c>
      <c r="J6">
        <v>0.66329113924050598</v>
      </c>
      <c r="K6">
        <v>0.69291338582677098</v>
      </c>
      <c r="M6">
        <v>0.67112299465240599</v>
      </c>
      <c r="O6">
        <v>0.49095607235142102</v>
      </c>
      <c r="Q6">
        <f t="shared" ref="Q6:Q16" si="0">AVERAGE(C6,E6,G6,I6,K6)</f>
        <v>0.6299805462771908</v>
      </c>
      <c r="R6">
        <f t="shared" ref="R6:R16" si="1">Q6*1.9</f>
        <v>1.1969630379266625</v>
      </c>
      <c r="X6">
        <v>0.80153649167733598</v>
      </c>
      <c r="Y6">
        <v>0.69181585677749302</v>
      </c>
      <c r="AF6">
        <f t="shared" ref="AF6:AF16" si="2">Y6/X6</f>
        <v>0.8631121152447645</v>
      </c>
    </row>
    <row r="7" spans="1:32" x14ac:dyDescent="0.2">
      <c r="A7" s="2">
        <v>10</v>
      </c>
      <c r="B7">
        <v>0.45088161209068001</v>
      </c>
      <c r="C7">
        <v>0.68918918918918903</v>
      </c>
      <c r="D7">
        <v>0.770573566084788</v>
      </c>
      <c r="E7">
        <v>0.70603674540682404</v>
      </c>
      <c r="F7">
        <v>0.66499999999999904</v>
      </c>
      <c r="G7">
        <v>0.559782608695652</v>
      </c>
      <c r="H7">
        <v>0.557499999999999</v>
      </c>
      <c r="I7">
        <v>0.78477690288713897</v>
      </c>
      <c r="J7">
        <v>0.89113924050632898</v>
      </c>
      <c r="K7">
        <v>0.83989501312335901</v>
      </c>
      <c r="M7">
        <v>0.82085561497326198</v>
      </c>
      <c r="O7">
        <v>0.58656330749354002</v>
      </c>
      <c r="Q7">
        <f t="shared" si="0"/>
        <v>0.7159360918604325</v>
      </c>
      <c r="R7">
        <f t="shared" si="1"/>
        <v>1.3602785745348216</v>
      </c>
      <c r="X7">
        <v>0.933418693982074</v>
      </c>
      <c r="Y7">
        <v>0.87468030690537002</v>
      </c>
      <c r="AF7">
        <f t="shared" si="2"/>
        <v>0.9370717691263295</v>
      </c>
    </row>
    <row r="8" spans="1:32" x14ac:dyDescent="0.2">
      <c r="A8" s="2">
        <v>11</v>
      </c>
      <c r="B8">
        <v>0.27959697732997402</v>
      </c>
      <c r="C8">
        <v>0.68918918918918903</v>
      </c>
      <c r="D8">
        <v>0.61097256857855298</v>
      </c>
      <c r="E8">
        <v>0.74278215223097099</v>
      </c>
      <c r="F8">
        <v>0.49249999999999999</v>
      </c>
      <c r="G8">
        <v>0.58423913043478204</v>
      </c>
      <c r="H8">
        <v>0.61250000000000004</v>
      </c>
      <c r="I8">
        <v>0.78215223097112796</v>
      </c>
      <c r="J8">
        <v>0.94430379746835402</v>
      </c>
      <c r="K8">
        <v>0.88976377952755903</v>
      </c>
      <c r="M8">
        <v>0.84759358288770004</v>
      </c>
      <c r="O8">
        <v>0.59689922480620095</v>
      </c>
      <c r="Q8">
        <f t="shared" si="0"/>
        <v>0.73762529647072572</v>
      </c>
      <c r="R8">
        <f t="shared" si="1"/>
        <v>1.4014880632943789</v>
      </c>
      <c r="X8">
        <v>0.82586427656850103</v>
      </c>
      <c r="Y8">
        <v>0.910485933503836</v>
      </c>
      <c r="AF8">
        <f t="shared" si="2"/>
        <v>1.1024643628937933</v>
      </c>
    </row>
    <row r="9" spans="1:32" x14ac:dyDescent="0.2">
      <c r="A9" s="2">
        <v>12</v>
      </c>
      <c r="B9">
        <v>0.22670025188916801</v>
      </c>
      <c r="C9">
        <v>0.678378378378378</v>
      </c>
      <c r="D9">
        <v>0.27930174563590998</v>
      </c>
      <c r="E9">
        <v>0.74278215223097099</v>
      </c>
      <c r="F9">
        <v>0.22749999999999901</v>
      </c>
      <c r="G9">
        <v>0.55706521739130399</v>
      </c>
      <c r="H9">
        <v>0.557499999999999</v>
      </c>
      <c r="I9">
        <v>0.77165354330708602</v>
      </c>
      <c r="J9">
        <v>0.71898734177215196</v>
      </c>
      <c r="K9">
        <v>0.86351706036745401</v>
      </c>
      <c r="M9">
        <v>0.76470588235294101</v>
      </c>
      <c r="O9">
        <v>0.55813953488372003</v>
      </c>
      <c r="Q9">
        <f t="shared" si="0"/>
        <v>0.72267927033503854</v>
      </c>
      <c r="R9">
        <f t="shared" si="1"/>
        <v>1.3730906136365733</v>
      </c>
      <c r="X9">
        <v>0.68245838668373804</v>
      </c>
      <c r="Y9">
        <v>0.85421994884910402</v>
      </c>
      <c r="AF9">
        <f t="shared" si="2"/>
        <v>1.2516806379946548</v>
      </c>
    </row>
    <row r="10" spans="1:32" x14ac:dyDescent="0.2">
      <c r="A10" s="2">
        <v>13</v>
      </c>
      <c r="B10">
        <v>0.27959697732997402</v>
      </c>
      <c r="C10">
        <v>0.70270270270270196</v>
      </c>
      <c r="D10">
        <v>0.119700748129675</v>
      </c>
      <c r="E10">
        <v>0.77165354330708602</v>
      </c>
      <c r="F10">
        <v>0.22749999999999901</v>
      </c>
      <c r="G10">
        <v>0.559782608695652</v>
      </c>
      <c r="H10">
        <v>0.49249999999999999</v>
      </c>
      <c r="I10">
        <v>0.79790026246719103</v>
      </c>
      <c r="J10">
        <v>0.45063291139240502</v>
      </c>
      <c r="K10">
        <v>0.85039370078740095</v>
      </c>
      <c r="M10">
        <v>0.67647058823529405</v>
      </c>
      <c r="O10">
        <v>0.50645994832041297</v>
      </c>
      <c r="Q10">
        <f t="shared" si="0"/>
        <v>0.73648656359200637</v>
      </c>
      <c r="R10">
        <f t="shared" si="1"/>
        <v>1.399324470824812</v>
      </c>
      <c r="X10">
        <v>0.69910371318821996</v>
      </c>
      <c r="Y10">
        <v>0.682864450127877</v>
      </c>
      <c r="AF10">
        <f t="shared" si="2"/>
        <v>0.97677131053090138</v>
      </c>
    </row>
    <row r="11" spans="1:32" x14ac:dyDescent="0.2">
      <c r="A11" s="2">
        <v>14</v>
      </c>
      <c r="B11">
        <v>0.33249370277078</v>
      </c>
      <c r="C11">
        <v>0.76756756756756706</v>
      </c>
      <c r="D11">
        <v>0.172069825436409</v>
      </c>
      <c r="E11">
        <v>0.79790026246719103</v>
      </c>
      <c r="F11">
        <v>0.27999999999999903</v>
      </c>
      <c r="G11">
        <v>0.59782608695652095</v>
      </c>
      <c r="H11">
        <v>0.32999999999999902</v>
      </c>
      <c r="I11">
        <v>0.837270341207349</v>
      </c>
      <c r="J11">
        <v>0.227848101265822</v>
      </c>
      <c r="K11">
        <v>0.87401574803149595</v>
      </c>
      <c r="M11">
        <v>0.60962566844919797</v>
      </c>
      <c r="O11">
        <v>0.53229974160206694</v>
      </c>
      <c r="Q11">
        <f t="shared" si="0"/>
        <v>0.77491600124602489</v>
      </c>
      <c r="R11">
        <f t="shared" si="1"/>
        <v>1.4723404023674471</v>
      </c>
      <c r="X11">
        <v>0.72599231754161297</v>
      </c>
      <c r="Y11">
        <v>0.80818414322250598</v>
      </c>
      <c r="AF11">
        <f t="shared" si="2"/>
        <v>1.1132130791124824</v>
      </c>
    </row>
    <row r="12" spans="1:32" x14ac:dyDescent="0.2">
      <c r="A12" s="2">
        <v>15</v>
      </c>
      <c r="B12">
        <v>0.33249370277078</v>
      </c>
      <c r="C12">
        <v>0.821621621621621</v>
      </c>
      <c r="D12">
        <v>0.331670822942643</v>
      </c>
      <c r="E12">
        <v>0.837270341207349</v>
      </c>
      <c r="F12">
        <v>0.33249999999999902</v>
      </c>
      <c r="G12">
        <v>0.65217391304347805</v>
      </c>
      <c r="H12">
        <v>0.22999999999999901</v>
      </c>
      <c r="I12">
        <v>0.90288713910761098</v>
      </c>
      <c r="J12">
        <v>0.124050632911392</v>
      </c>
      <c r="K12">
        <v>0.91601049868766404</v>
      </c>
      <c r="M12">
        <v>0.62299465240641705</v>
      </c>
      <c r="O12">
        <v>0.59948320413436595</v>
      </c>
      <c r="Q12">
        <f t="shared" si="0"/>
        <v>0.82599270273354475</v>
      </c>
      <c r="R12">
        <f t="shared" si="1"/>
        <v>1.569386135193735</v>
      </c>
      <c r="X12">
        <v>0.73495518565941098</v>
      </c>
      <c r="Y12">
        <v>0.81202046035805597</v>
      </c>
      <c r="AF12">
        <f t="shared" si="2"/>
        <v>1.1048571072119193</v>
      </c>
    </row>
    <row r="13" spans="1:32" x14ac:dyDescent="0.2">
      <c r="A13" s="2">
        <v>16</v>
      </c>
      <c r="B13">
        <v>0.27959697732997402</v>
      </c>
      <c r="C13">
        <v>0.80810810810810796</v>
      </c>
      <c r="D13">
        <v>0.226932668329177</v>
      </c>
      <c r="E13">
        <v>0.83464566929133799</v>
      </c>
      <c r="F13">
        <v>0.33249999999999902</v>
      </c>
      <c r="G13">
        <v>0.66304347826086896</v>
      </c>
      <c r="H13">
        <v>0.17499999999999899</v>
      </c>
      <c r="I13">
        <v>0.94225721784776895</v>
      </c>
      <c r="J13">
        <v>0.12151898734177199</v>
      </c>
      <c r="K13">
        <v>0.929133858267716</v>
      </c>
      <c r="M13">
        <v>0.67379679144384996</v>
      </c>
      <c r="O13">
        <v>0.63824289405684698</v>
      </c>
      <c r="Q13">
        <f t="shared" si="0"/>
        <v>0.83543766635515992</v>
      </c>
      <c r="R13">
        <f t="shared" si="1"/>
        <v>1.5873315660748037</v>
      </c>
      <c r="X13">
        <v>0.70678617157490398</v>
      </c>
      <c r="Y13">
        <v>0.82480818414322199</v>
      </c>
      <c r="AF13">
        <f t="shared" si="2"/>
        <v>1.1669840431446674</v>
      </c>
    </row>
    <row r="14" spans="1:32" x14ac:dyDescent="0.2">
      <c r="A14" s="2">
        <v>17</v>
      </c>
      <c r="B14">
        <v>0.17632241813602001</v>
      </c>
      <c r="C14">
        <v>0.70270270270270196</v>
      </c>
      <c r="D14">
        <v>5.4862842892768098E-2</v>
      </c>
      <c r="E14">
        <v>0.78215223097112796</v>
      </c>
      <c r="F14">
        <v>0.27999999999999903</v>
      </c>
      <c r="G14">
        <v>0.61141304347826098</v>
      </c>
      <c r="H14">
        <v>0.22749999999999901</v>
      </c>
      <c r="I14">
        <v>0.87401574803149595</v>
      </c>
      <c r="J14">
        <v>0.177215189873417</v>
      </c>
      <c r="K14">
        <v>0.87664041994750597</v>
      </c>
      <c r="M14">
        <v>0.67379679144384996</v>
      </c>
      <c r="O14">
        <v>0.60981912144702799</v>
      </c>
      <c r="Q14">
        <f t="shared" si="0"/>
        <v>0.76938482902621852</v>
      </c>
      <c r="R14">
        <f t="shared" si="1"/>
        <v>1.4618311751498152</v>
      </c>
      <c r="X14">
        <v>0.76312419974391799</v>
      </c>
      <c r="Y14">
        <v>0.76342710997442398</v>
      </c>
      <c r="AF14">
        <f t="shared" si="2"/>
        <v>1.0003969343792369</v>
      </c>
    </row>
    <row r="15" spans="1:32" x14ac:dyDescent="0.2">
      <c r="A15" s="2">
        <v>18</v>
      </c>
      <c r="B15">
        <v>0.12090680100755601</v>
      </c>
      <c r="C15">
        <v>0.55675675675675595</v>
      </c>
      <c r="D15">
        <v>4.9875311720698201E-2</v>
      </c>
      <c r="E15">
        <v>0.64829396325459299</v>
      </c>
      <c r="F15">
        <v>0.17249999999999899</v>
      </c>
      <c r="G15">
        <v>0.49184782608695599</v>
      </c>
      <c r="H15">
        <v>0.33499999999999902</v>
      </c>
      <c r="I15">
        <v>0.72965879265091804</v>
      </c>
      <c r="J15">
        <v>0.17468354430379701</v>
      </c>
      <c r="K15">
        <v>0.74540682414698101</v>
      </c>
      <c r="M15">
        <v>0.59893048128342197</v>
      </c>
      <c r="O15">
        <v>0.49095607235142102</v>
      </c>
      <c r="Q15">
        <f t="shared" si="0"/>
        <v>0.63439283257924073</v>
      </c>
      <c r="R15">
        <f t="shared" si="1"/>
        <v>1.2053463819005574</v>
      </c>
      <c r="X15">
        <v>0.57362355953905197</v>
      </c>
      <c r="Y15">
        <v>0.68158567774935996</v>
      </c>
      <c r="AF15">
        <f t="shared" si="2"/>
        <v>1.1882107462550238</v>
      </c>
    </row>
    <row r="16" spans="1:32" x14ac:dyDescent="0.2">
      <c r="A16" s="2">
        <v>19</v>
      </c>
      <c r="B16">
        <v>5.0377833753148499E-2</v>
      </c>
      <c r="C16">
        <v>0.38648648648648598</v>
      </c>
      <c r="D16">
        <v>0.22443890274314199</v>
      </c>
      <c r="E16">
        <v>0.47769028871391001</v>
      </c>
      <c r="F16">
        <v>5.5E-2</v>
      </c>
      <c r="G16">
        <v>0.36141304347825998</v>
      </c>
      <c r="H16">
        <v>0.17499999999999899</v>
      </c>
      <c r="I16">
        <v>0.51706036745406803</v>
      </c>
      <c r="J16">
        <v>0.124050632911392</v>
      </c>
      <c r="K16">
        <v>0.55643044619422499</v>
      </c>
      <c r="M16">
        <v>0.45187165775401</v>
      </c>
      <c r="O16">
        <v>0.33333333333333298</v>
      </c>
      <c r="Q16">
        <f t="shared" si="0"/>
        <v>0.45981612646538972</v>
      </c>
      <c r="R16">
        <f t="shared" si="1"/>
        <v>0.87365064028424044</v>
      </c>
      <c r="X16">
        <v>0.41613316261203498</v>
      </c>
      <c r="Y16">
        <v>0.54603580562659804</v>
      </c>
      <c r="AF16">
        <f t="shared" si="2"/>
        <v>1.3121660436749969</v>
      </c>
    </row>
    <row r="17" spans="1:32" x14ac:dyDescent="0.2">
      <c r="A17" s="2">
        <v>20</v>
      </c>
      <c r="C17">
        <v>0.23783783783783699</v>
      </c>
      <c r="E17">
        <v>0.278215223097112</v>
      </c>
      <c r="G17">
        <v>0.21467391304347799</v>
      </c>
      <c r="I17">
        <v>0.31758530183727002</v>
      </c>
      <c r="K17">
        <v>0.37270341207349</v>
      </c>
      <c r="M17">
        <v>0.27540106951871601</v>
      </c>
    </row>
    <row r="18" spans="1:32" x14ac:dyDescent="0.2">
      <c r="A18" s="3"/>
      <c r="X18">
        <v>7.963508</v>
      </c>
      <c r="Y18">
        <v>8.4737849999999995</v>
      </c>
    </row>
    <row r="19" spans="1:32" x14ac:dyDescent="0.2">
      <c r="B19">
        <v>3.16</v>
      </c>
      <c r="D19">
        <v>3.67</v>
      </c>
      <c r="F19">
        <v>3.61</v>
      </c>
      <c r="H19">
        <v>4.2</v>
      </c>
      <c r="J19">
        <v>4.76</v>
      </c>
      <c r="AF19">
        <f>I20/X18</f>
        <v>1.0975062748728324</v>
      </c>
    </row>
    <row r="20" spans="1:32" x14ac:dyDescent="0.2">
      <c r="C20">
        <v>7.43</v>
      </c>
      <c r="E20">
        <v>7.92</v>
      </c>
      <c r="G20">
        <v>6.14</v>
      </c>
      <c r="I20">
        <v>8.74</v>
      </c>
      <c r="K20">
        <v>9</v>
      </c>
      <c r="M20">
        <v>7.43</v>
      </c>
      <c r="O20">
        <v>5.94</v>
      </c>
      <c r="AF20">
        <f>K20/Y18</f>
        <v>1.0620991681993348</v>
      </c>
    </row>
    <row r="22" spans="1:32" ht="19" x14ac:dyDescent="0.2">
      <c r="B22">
        <v>3.16</v>
      </c>
      <c r="C22">
        <v>3.67</v>
      </c>
      <c r="D22">
        <v>3.61</v>
      </c>
      <c r="E22">
        <v>4.2</v>
      </c>
      <c r="F22">
        <v>4.76</v>
      </c>
      <c r="W22" s="14"/>
    </row>
    <row r="23" spans="1:32" x14ac:dyDescent="0.2">
      <c r="B23">
        <v>7.43</v>
      </c>
      <c r="C23">
        <v>7.92</v>
      </c>
      <c r="D23">
        <v>6.14</v>
      </c>
      <c r="E23">
        <v>8.74</v>
      </c>
      <c r="F23">
        <v>9</v>
      </c>
    </row>
    <row r="25" spans="1:32" x14ac:dyDescent="0.2">
      <c r="B25" s="2">
        <v>8</v>
      </c>
      <c r="C25" s="2">
        <v>9</v>
      </c>
      <c r="D25" s="2">
        <v>10</v>
      </c>
      <c r="E25" s="2">
        <v>11</v>
      </c>
      <c r="F25" s="2">
        <v>12</v>
      </c>
      <c r="G25" s="2">
        <v>13</v>
      </c>
      <c r="H25" s="2">
        <v>14</v>
      </c>
      <c r="I25" s="2">
        <v>15</v>
      </c>
      <c r="J25" s="2">
        <v>16</v>
      </c>
      <c r="K25" s="2">
        <v>17</v>
      </c>
      <c r="L25" s="2">
        <v>18</v>
      </c>
      <c r="M25" s="2">
        <v>19</v>
      </c>
    </row>
    <row r="26" spans="1:32" x14ac:dyDescent="0.2">
      <c r="A26" t="s">
        <v>4</v>
      </c>
      <c r="B26">
        <v>0.33249370277078</v>
      </c>
      <c r="C26">
        <v>0.49118387909319799</v>
      </c>
      <c r="D26">
        <v>0.45088161209068001</v>
      </c>
      <c r="E26">
        <v>0.27959697732997402</v>
      </c>
      <c r="F26">
        <v>0.22670025188916801</v>
      </c>
      <c r="G26">
        <v>0.27959697732997402</v>
      </c>
      <c r="H26">
        <v>0.33249370277078</v>
      </c>
      <c r="I26">
        <v>0.33249370277078</v>
      </c>
      <c r="J26">
        <v>0.27959697732997402</v>
      </c>
      <c r="K26">
        <v>0.17632241813602001</v>
      </c>
      <c r="L26">
        <v>0.12090680100755601</v>
      </c>
      <c r="M26">
        <v>5.0377833753148499E-2</v>
      </c>
    </row>
    <row r="27" spans="1:32" x14ac:dyDescent="0.2">
      <c r="B27">
        <v>0.42432432432432399</v>
      </c>
      <c r="C27">
        <v>0.61081081081081001</v>
      </c>
      <c r="D27">
        <v>0.68918918918918903</v>
      </c>
      <c r="E27">
        <v>0.68918918918918903</v>
      </c>
      <c r="F27">
        <v>0.678378378378378</v>
      </c>
      <c r="G27">
        <v>0.70270270270270196</v>
      </c>
      <c r="H27">
        <v>0.76756756756756706</v>
      </c>
      <c r="I27">
        <v>0.821621621621621</v>
      </c>
      <c r="J27">
        <v>0.80810810810810796</v>
      </c>
      <c r="K27">
        <v>0.70270270270270196</v>
      </c>
      <c r="L27">
        <v>0.55675675675675595</v>
      </c>
      <c r="M27">
        <v>0.38648648648648598</v>
      </c>
    </row>
    <row r="28" spans="1:32" x14ac:dyDescent="0.2">
      <c r="A28" t="s">
        <v>5</v>
      </c>
      <c r="B28">
        <v>0.45137157107231901</v>
      </c>
      <c r="C28">
        <v>0.71321695760598403</v>
      </c>
      <c r="D28">
        <v>0.770573566084788</v>
      </c>
      <c r="E28">
        <v>0.61097256857855298</v>
      </c>
      <c r="F28">
        <v>0.27930174563590998</v>
      </c>
      <c r="G28">
        <v>0.119700748129675</v>
      </c>
      <c r="H28">
        <v>0.172069825436409</v>
      </c>
      <c r="I28">
        <v>0.331670822942643</v>
      </c>
      <c r="J28">
        <v>0.226932668329177</v>
      </c>
      <c r="K28">
        <v>5.4862842892768098E-2</v>
      </c>
      <c r="L28">
        <v>4.9875311720698201E-2</v>
      </c>
      <c r="M28">
        <v>0.22443890274314199</v>
      </c>
    </row>
    <row r="29" spans="1:32" ht="19" x14ac:dyDescent="0.2">
      <c r="B29">
        <v>0.43832020997375298</v>
      </c>
      <c r="C29">
        <v>0.59580052493438296</v>
      </c>
      <c r="D29">
        <v>0.70603674540682404</v>
      </c>
      <c r="E29">
        <v>0.74278215223097099</v>
      </c>
      <c r="F29">
        <v>0.74278215223097099</v>
      </c>
      <c r="G29">
        <v>0.77165354330708602</v>
      </c>
      <c r="H29">
        <v>0.79790026246719103</v>
      </c>
      <c r="I29">
        <v>0.837270341207349</v>
      </c>
      <c r="J29">
        <v>0.83464566929133799</v>
      </c>
      <c r="K29">
        <v>0.78215223097112796</v>
      </c>
      <c r="L29">
        <v>0.64829396325459299</v>
      </c>
      <c r="M29">
        <v>0.47769028871391001</v>
      </c>
      <c r="W29" s="14"/>
    </row>
    <row r="30" spans="1:32" x14ac:dyDescent="0.2">
      <c r="A30" t="s">
        <v>6</v>
      </c>
      <c r="B30">
        <v>0.17249999999999899</v>
      </c>
      <c r="C30">
        <v>0.48999999999999899</v>
      </c>
      <c r="D30">
        <v>0.66499999999999904</v>
      </c>
      <c r="E30">
        <v>0.49249999999999999</v>
      </c>
      <c r="F30">
        <v>0.22749999999999901</v>
      </c>
      <c r="G30">
        <v>0.22749999999999901</v>
      </c>
      <c r="H30">
        <v>0.27999999999999903</v>
      </c>
      <c r="I30">
        <v>0.33249999999999902</v>
      </c>
      <c r="J30">
        <v>0.33249999999999902</v>
      </c>
      <c r="K30">
        <v>0.27999999999999903</v>
      </c>
      <c r="L30">
        <v>0.17249999999999899</v>
      </c>
      <c r="M30">
        <v>5.5E-2</v>
      </c>
    </row>
    <row r="31" spans="1:32" x14ac:dyDescent="0.2">
      <c r="B31">
        <v>0.372282608695652</v>
      </c>
      <c r="C31">
        <v>0.49184782608695599</v>
      </c>
      <c r="D31">
        <v>0.559782608695652</v>
      </c>
      <c r="E31">
        <v>0.58423913043478204</v>
      </c>
      <c r="F31">
        <v>0.55706521739130399</v>
      </c>
      <c r="G31">
        <v>0.559782608695652</v>
      </c>
      <c r="H31">
        <v>0.59782608695652095</v>
      </c>
      <c r="I31">
        <v>0.65217391304347805</v>
      </c>
      <c r="J31">
        <v>0.66304347826086896</v>
      </c>
      <c r="K31">
        <v>0.61141304347826098</v>
      </c>
      <c r="L31">
        <v>0.49184782608695599</v>
      </c>
      <c r="M31">
        <v>0.36141304347825998</v>
      </c>
      <c r="S31" s="20">
        <v>8</v>
      </c>
      <c r="T31" s="20">
        <v>9</v>
      </c>
      <c r="U31" s="20">
        <v>10</v>
      </c>
      <c r="V31" s="20">
        <v>11</v>
      </c>
      <c r="W31" s="20">
        <v>12</v>
      </c>
      <c r="X31" s="20">
        <v>13</v>
      </c>
      <c r="Y31" s="20">
        <v>14</v>
      </c>
      <c r="Z31" s="20">
        <v>15</v>
      </c>
      <c r="AA31" s="20">
        <v>16</v>
      </c>
      <c r="AB31" s="20">
        <v>17</v>
      </c>
      <c r="AC31" s="20">
        <v>18</v>
      </c>
      <c r="AD31" s="20">
        <v>19</v>
      </c>
    </row>
    <row r="32" spans="1:32" x14ac:dyDescent="0.2">
      <c r="A32" t="s">
        <v>2</v>
      </c>
      <c r="B32">
        <v>0.27999999999999903</v>
      </c>
      <c r="C32">
        <v>0.45499999999999902</v>
      </c>
      <c r="D32">
        <v>0.557499999999999</v>
      </c>
      <c r="E32">
        <v>0.61250000000000004</v>
      </c>
      <c r="F32">
        <v>0.557499999999999</v>
      </c>
      <c r="G32">
        <v>0.49249999999999999</v>
      </c>
      <c r="H32">
        <v>0.32999999999999902</v>
      </c>
      <c r="I32">
        <v>0.22999999999999901</v>
      </c>
      <c r="J32">
        <v>0.17499999999999899</v>
      </c>
      <c r="K32">
        <v>0.22749999999999901</v>
      </c>
      <c r="L32">
        <v>0.33499999999999902</v>
      </c>
      <c r="M32">
        <v>0.17499999999999899</v>
      </c>
      <c r="R32" s="19" t="s">
        <v>4</v>
      </c>
      <c r="S32" s="10">
        <v>0.78358388551075608</v>
      </c>
      <c r="T32" s="10">
        <v>0.80415059851541371</v>
      </c>
      <c r="U32" s="10">
        <v>0.65422037832765345</v>
      </c>
      <c r="V32" s="10">
        <v>0.40568973181211926</v>
      </c>
      <c r="W32" s="10">
        <v>0.33417965417925183</v>
      </c>
      <c r="X32" s="10">
        <v>0.39788800620034803</v>
      </c>
      <c r="Y32" s="10">
        <v>0.43317841558165027</v>
      </c>
      <c r="Z32" s="10">
        <v>0.40467983560917331</v>
      </c>
      <c r="AA32" s="10">
        <v>0.34598957060899799</v>
      </c>
      <c r="AB32" s="10">
        <v>0.2509203642704903</v>
      </c>
      <c r="AC32" s="10">
        <v>0.2171627008388145</v>
      </c>
      <c r="AD32" s="10">
        <v>0.1303482411794753</v>
      </c>
      <c r="AF32">
        <f>B19/C20</f>
        <v>0.42530282637954242</v>
      </c>
    </row>
    <row r="33" spans="1:32" x14ac:dyDescent="0.2">
      <c r="B33">
        <v>0.60892388451443502</v>
      </c>
      <c r="C33">
        <v>0.75853018372703396</v>
      </c>
      <c r="D33">
        <v>0.78477690288713897</v>
      </c>
      <c r="E33">
        <v>0.78215223097112796</v>
      </c>
      <c r="F33">
        <v>0.77165354330708602</v>
      </c>
      <c r="G33">
        <v>0.79790026246719103</v>
      </c>
      <c r="H33">
        <v>0.837270341207349</v>
      </c>
      <c r="I33">
        <v>0.90288713910761098</v>
      </c>
      <c r="J33">
        <v>0.94225721784776895</v>
      </c>
      <c r="K33">
        <v>0.87401574803149595</v>
      </c>
      <c r="L33">
        <v>0.72965879265091804</v>
      </c>
      <c r="M33">
        <v>0.51706036745406803</v>
      </c>
      <c r="R33" s="19" t="s">
        <v>5</v>
      </c>
      <c r="S33" s="10">
        <v>1.0297758597518183</v>
      </c>
      <c r="T33" s="10">
        <v>1.197073395805639</v>
      </c>
      <c r="U33" s="10">
        <v>1.0914071698078225</v>
      </c>
      <c r="V33" s="10">
        <v>0.82254610822766339</v>
      </c>
      <c r="W33" s="10">
        <v>0.37602107804693186</v>
      </c>
      <c r="X33" s="10">
        <v>0.15512239808641567</v>
      </c>
      <c r="Y33" s="10">
        <v>0.21565330095813118</v>
      </c>
      <c r="Z33" s="10">
        <v>0.39613349072459875</v>
      </c>
      <c r="AA33" s="10">
        <v>0.27189102714910846</v>
      </c>
      <c r="AB33" s="10">
        <v>7.0143433362901547E-2</v>
      </c>
      <c r="AC33" s="10">
        <v>7.6933173140024375E-2</v>
      </c>
      <c r="AD33" s="10">
        <v>0.46984187881943534</v>
      </c>
      <c r="AF33">
        <f>D19/E20</f>
        <v>0.4633838383838384</v>
      </c>
    </row>
    <row r="34" spans="1:32" x14ac:dyDescent="0.2">
      <c r="A34" t="s">
        <v>3</v>
      </c>
      <c r="B34">
        <v>0.4</v>
      </c>
      <c r="C34">
        <v>0.66329113924050598</v>
      </c>
      <c r="D34">
        <v>0.89113924050632898</v>
      </c>
      <c r="E34">
        <v>0.94430379746835402</v>
      </c>
      <c r="F34">
        <v>0.71898734177215196</v>
      </c>
      <c r="G34">
        <v>0.45063291139240502</v>
      </c>
      <c r="H34">
        <v>0.227848101265822</v>
      </c>
      <c r="I34">
        <v>0.124050632911392</v>
      </c>
      <c r="J34">
        <v>0.12151898734177199</v>
      </c>
      <c r="K34">
        <v>0.177215189873417</v>
      </c>
      <c r="L34">
        <v>0.17468354430379701</v>
      </c>
      <c r="M34">
        <v>0.124050632911392</v>
      </c>
      <c r="R34" s="19" t="s">
        <v>6</v>
      </c>
      <c r="S34" s="10">
        <v>0.46335766423357416</v>
      </c>
      <c r="T34" s="10">
        <v>0.99624309392265098</v>
      </c>
      <c r="U34" s="10">
        <v>1.1879611650485424</v>
      </c>
      <c r="V34" s="10">
        <v>0.84297674418604729</v>
      </c>
      <c r="W34" s="10">
        <v>0.4083902439024375</v>
      </c>
      <c r="X34" s="10">
        <v>0.40640776699028963</v>
      </c>
      <c r="Y34" s="10">
        <v>0.46836363636363537</v>
      </c>
      <c r="Z34" s="10">
        <v>0.50983333333333203</v>
      </c>
      <c r="AA34" s="10">
        <v>0.50147540983606453</v>
      </c>
      <c r="AB34" s="10">
        <v>0.45795555555555389</v>
      </c>
      <c r="AC34" s="10">
        <v>0.35071823204419722</v>
      </c>
      <c r="AD34" s="10">
        <v>0.15218045112781992</v>
      </c>
      <c r="AF34">
        <f>F19/G20</f>
        <v>0.58794788273615639</v>
      </c>
    </row>
    <row r="35" spans="1:32" x14ac:dyDescent="0.2">
      <c r="B35">
        <v>0.488188976377952</v>
      </c>
      <c r="C35">
        <v>0.69291338582677098</v>
      </c>
      <c r="D35">
        <v>0.83989501312335901</v>
      </c>
      <c r="E35">
        <v>0.88976377952755903</v>
      </c>
      <c r="F35">
        <v>0.86351706036745401</v>
      </c>
      <c r="G35">
        <v>0.85039370078740095</v>
      </c>
      <c r="H35">
        <v>0.87401574803149595</v>
      </c>
      <c r="I35">
        <v>0.91601049868766404</v>
      </c>
      <c r="J35">
        <v>0.929133858267716</v>
      </c>
      <c r="K35">
        <v>0.87664041994750597</v>
      </c>
      <c r="L35">
        <v>0.74540682414698101</v>
      </c>
      <c r="M35">
        <v>0.55643044619422499</v>
      </c>
      <c r="R35" s="19" t="s">
        <v>9</v>
      </c>
      <c r="S35" s="10">
        <v>0.45982758620689546</v>
      </c>
      <c r="T35" s="10">
        <v>0.59984429065743827</v>
      </c>
      <c r="U35" s="10">
        <v>0.71039297658862766</v>
      </c>
      <c r="V35" s="10">
        <v>0.78309563758389333</v>
      </c>
      <c r="W35" s="10">
        <v>0.72247448979591766</v>
      </c>
      <c r="X35" s="10">
        <v>0.61724506578947413</v>
      </c>
      <c r="Y35" s="10">
        <v>0.39413793103448164</v>
      </c>
      <c r="Z35" s="10">
        <v>0.2547383720930223</v>
      </c>
      <c r="AA35" s="10">
        <v>0.18572423398328586</v>
      </c>
      <c r="AB35" s="10">
        <v>0.26029279279279172</v>
      </c>
      <c r="AC35" s="10">
        <v>0.45911870503597024</v>
      </c>
      <c r="AD35" s="10">
        <v>0.33845177664974441</v>
      </c>
      <c r="AF35">
        <f>H19/I20</f>
        <v>0.4805491990846682</v>
      </c>
    </row>
    <row r="36" spans="1:32" x14ac:dyDescent="0.2">
      <c r="A36" t="s">
        <v>8</v>
      </c>
      <c r="R36" s="19" t="s">
        <v>3</v>
      </c>
      <c r="S36" s="10">
        <v>0.81935483870967873</v>
      </c>
      <c r="T36" s="10">
        <v>0.95724971231300393</v>
      </c>
      <c r="U36" s="10">
        <v>1.0610126582278487</v>
      </c>
      <c r="V36" s="10">
        <v>1.0612971883051412</v>
      </c>
      <c r="W36" s="10">
        <v>0.83262667846562288</v>
      </c>
      <c r="X36" s="10">
        <v>0.52991092358181002</v>
      </c>
      <c r="Y36" s="10">
        <v>0.26069107081765225</v>
      </c>
      <c r="Z36" s="10">
        <v>0.13542490297776605</v>
      </c>
      <c r="AA36" s="10">
        <v>0.13078738468139875</v>
      </c>
      <c r="AB36" s="10">
        <v>0.20215265671189198</v>
      </c>
      <c r="AC36" s="10">
        <v>0.23434658584417858</v>
      </c>
      <c r="AD36" s="10">
        <v>0.22294005254358684</v>
      </c>
      <c r="AF36">
        <f>J19/K20</f>
        <v>0.52888888888888885</v>
      </c>
    </row>
    <row r="37" spans="1:32" x14ac:dyDescent="0.2">
      <c r="B37">
        <v>0.489304812834224</v>
      </c>
      <c r="C37">
        <v>0.67112299465240599</v>
      </c>
      <c r="D37">
        <v>0.82085561497326198</v>
      </c>
      <c r="E37">
        <v>0.84759358288770004</v>
      </c>
      <c r="F37">
        <v>0.76470588235294101</v>
      </c>
      <c r="G37">
        <v>0.67647058823529405</v>
      </c>
      <c r="H37">
        <v>0.60962566844919797</v>
      </c>
      <c r="I37">
        <v>0.62299465240641705</v>
      </c>
      <c r="J37">
        <v>0.67379679144384996</v>
      </c>
      <c r="K37">
        <v>0.67379679144384996</v>
      </c>
      <c r="L37">
        <v>0.59893048128342197</v>
      </c>
      <c r="M37">
        <v>0.45187165775401</v>
      </c>
      <c r="R37" s="9"/>
    </row>
    <row r="38" spans="1:32" x14ac:dyDescent="0.2">
      <c r="S38" s="18">
        <v>1</v>
      </c>
      <c r="T38" s="18">
        <v>0.4</v>
      </c>
      <c r="U38" s="18">
        <v>0.1</v>
      </c>
    </row>
    <row r="39" spans="1:32" x14ac:dyDescent="0.2">
      <c r="B39">
        <v>0.33333333333333298</v>
      </c>
      <c r="C39">
        <v>0.49095607235142102</v>
      </c>
      <c r="D39">
        <v>0.58656330749354002</v>
      </c>
      <c r="E39">
        <v>0.59689922480620095</v>
      </c>
      <c r="F39">
        <v>0.55813953488372003</v>
      </c>
      <c r="G39">
        <v>0.50645994832041297</v>
      </c>
      <c r="H39">
        <v>0.53229974160206694</v>
      </c>
      <c r="I39">
        <v>0.59948320413436595</v>
      </c>
      <c r="J39">
        <v>0.63824289405684698</v>
      </c>
      <c r="K39">
        <v>0.60981912144702799</v>
      </c>
      <c r="L39">
        <v>0.49095607235142102</v>
      </c>
      <c r="M39">
        <v>0.33333333333333298</v>
      </c>
    </row>
    <row r="42" spans="1:32" x14ac:dyDescent="0.2">
      <c r="A42" t="s">
        <v>4</v>
      </c>
      <c r="B42">
        <f>B26/B27</f>
        <v>0.78358388551075608</v>
      </c>
      <c r="C42">
        <f t="shared" ref="C42:M42" si="3">C26/C27</f>
        <v>0.80415059851541371</v>
      </c>
      <c r="D42">
        <f t="shared" si="3"/>
        <v>0.65422037832765345</v>
      </c>
      <c r="E42">
        <f t="shared" si="3"/>
        <v>0.40568973181211926</v>
      </c>
      <c r="F42">
        <f t="shared" si="3"/>
        <v>0.33417965417925183</v>
      </c>
      <c r="G42">
        <f t="shared" si="3"/>
        <v>0.39788800620034803</v>
      </c>
      <c r="H42">
        <f t="shared" si="3"/>
        <v>0.43317841558165027</v>
      </c>
      <c r="I42">
        <f t="shared" si="3"/>
        <v>0.40467983560917331</v>
      </c>
      <c r="J42">
        <f t="shared" si="3"/>
        <v>0.34598957060899799</v>
      </c>
      <c r="K42">
        <f t="shared" si="3"/>
        <v>0.2509203642704903</v>
      </c>
      <c r="L42">
        <f t="shared" si="3"/>
        <v>0.2171627008388145</v>
      </c>
      <c r="M42">
        <f t="shared" si="3"/>
        <v>0.1303482411794753</v>
      </c>
      <c r="N42">
        <f t="shared" ref="N42:N47" si="4">AVERAGE(B42:M42)</f>
        <v>0.43016594855284529</v>
      </c>
    </row>
    <row r="43" spans="1:32" x14ac:dyDescent="0.2">
      <c r="A43" t="s">
        <v>5</v>
      </c>
      <c r="B43">
        <f>B28/B29</f>
        <v>1.0297758597518183</v>
      </c>
      <c r="C43">
        <f t="shared" ref="C43:M43" si="5">C28/C29</f>
        <v>1.197073395805639</v>
      </c>
      <c r="D43">
        <f t="shared" si="5"/>
        <v>1.0914071698078225</v>
      </c>
      <c r="E43">
        <f t="shared" si="5"/>
        <v>0.82254610822766339</v>
      </c>
      <c r="F43">
        <f t="shared" si="5"/>
        <v>0.37602107804693186</v>
      </c>
      <c r="G43">
        <f t="shared" si="5"/>
        <v>0.15512239808641567</v>
      </c>
      <c r="H43">
        <f t="shared" si="5"/>
        <v>0.21565330095813118</v>
      </c>
      <c r="I43">
        <f t="shared" si="5"/>
        <v>0.39613349072459875</v>
      </c>
      <c r="J43">
        <f t="shared" si="5"/>
        <v>0.27189102714910846</v>
      </c>
      <c r="K43">
        <f t="shared" si="5"/>
        <v>7.0143433362901547E-2</v>
      </c>
      <c r="L43">
        <f t="shared" si="5"/>
        <v>7.6933173140024375E-2</v>
      </c>
      <c r="M43">
        <f t="shared" si="5"/>
        <v>0.46984187881943534</v>
      </c>
      <c r="N43">
        <f t="shared" si="4"/>
        <v>0.51437852615670765</v>
      </c>
    </row>
    <row r="44" spans="1:32" x14ac:dyDescent="0.2">
      <c r="A44" t="s">
        <v>6</v>
      </c>
      <c r="B44">
        <f>B30/B31</f>
        <v>0.46335766423357416</v>
      </c>
      <c r="C44">
        <f t="shared" ref="C44:M44" si="6">C30/C31</f>
        <v>0.99624309392265098</v>
      </c>
      <c r="D44">
        <f t="shared" si="6"/>
        <v>1.1879611650485424</v>
      </c>
      <c r="E44">
        <f t="shared" si="6"/>
        <v>0.84297674418604729</v>
      </c>
      <c r="F44">
        <f t="shared" si="6"/>
        <v>0.4083902439024375</v>
      </c>
      <c r="G44">
        <f t="shared" si="6"/>
        <v>0.40640776699028963</v>
      </c>
      <c r="H44">
        <f t="shared" si="6"/>
        <v>0.46836363636363537</v>
      </c>
      <c r="I44">
        <f t="shared" si="6"/>
        <v>0.50983333333333203</v>
      </c>
      <c r="J44">
        <f t="shared" si="6"/>
        <v>0.50147540983606453</v>
      </c>
      <c r="K44">
        <f t="shared" si="6"/>
        <v>0.45795555555555389</v>
      </c>
      <c r="L44">
        <f t="shared" si="6"/>
        <v>0.35071823204419722</v>
      </c>
      <c r="M44">
        <f t="shared" si="6"/>
        <v>0.15218045112781992</v>
      </c>
      <c r="N44">
        <f t="shared" si="4"/>
        <v>0.5621552747120121</v>
      </c>
    </row>
    <row r="45" spans="1:32" x14ac:dyDescent="0.2">
      <c r="A45" t="s">
        <v>2</v>
      </c>
      <c r="B45">
        <f>B32/B33</f>
        <v>0.45982758620689546</v>
      </c>
      <c r="C45">
        <f t="shared" ref="C45:M45" si="7">C32/C33</f>
        <v>0.59984429065743827</v>
      </c>
      <c r="D45">
        <f t="shared" si="7"/>
        <v>0.71039297658862766</v>
      </c>
      <c r="E45">
        <f t="shared" si="7"/>
        <v>0.78309563758389333</v>
      </c>
      <c r="F45">
        <f t="shared" si="7"/>
        <v>0.72247448979591766</v>
      </c>
      <c r="G45">
        <f t="shared" si="7"/>
        <v>0.61724506578947413</v>
      </c>
      <c r="H45">
        <f t="shared" si="7"/>
        <v>0.39413793103448164</v>
      </c>
      <c r="I45">
        <f t="shared" si="7"/>
        <v>0.2547383720930223</v>
      </c>
      <c r="J45">
        <f t="shared" si="7"/>
        <v>0.18572423398328586</v>
      </c>
      <c r="K45">
        <f t="shared" si="7"/>
        <v>0.26029279279279172</v>
      </c>
      <c r="L45">
        <f t="shared" si="7"/>
        <v>0.45911870503597024</v>
      </c>
      <c r="M45">
        <f t="shared" si="7"/>
        <v>0.33845177664974441</v>
      </c>
      <c r="N45">
        <f t="shared" si="4"/>
        <v>0.48211198818429524</v>
      </c>
    </row>
    <row r="46" spans="1:32" x14ac:dyDescent="0.2">
      <c r="A46" t="s">
        <v>3</v>
      </c>
      <c r="B46">
        <f>B34/B35</f>
        <v>0.81935483870967873</v>
      </c>
      <c r="C46">
        <f t="shared" ref="C46:M46" si="8">C34/C35</f>
        <v>0.95724971231300393</v>
      </c>
      <c r="D46">
        <f t="shared" si="8"/>
        <v>1.0610126582278487</v>
      </c>
      <c r="E46">
        <f t="shared" si="8"/>
        <v>1.0612971883051412</v>
      </c>
      <c r="F46">
        <f t="shared" si="8"/>
        <v>0.83262667846562288</v>
      </c>
      <c r="G46">
        <f t="shared" si="8"/>
        <v>0.52991092358181002</v>
      </c>
      <c r="H46">
        <f t="shared" si="8"/>
        <v>0.26069107081765225</v>
      </c>
      <c r="I46">
        <f t="shared" si="8"/>
        <v>0.13542490297776605</v>
      </c>
      <c r="J46">
        <f t="shared" si="8"/>
        <v>0.13078738468139875</v>
      </c>
      <c r="K46">
        <f t="shared" si="8"/>
        <v>0.20215265671189198</v>
      </c>
      <c r="L46">
        <f t="shared" si="8"/>
        <v>0.23434658584417858</v>
      </c>
      <c r="M46">
        <f t="shared" si="8"/>
        <v>0.22294005254358684</v>
      </c>
      <c r="N46">
        <f t="shared" si="4"/>
        <v>0.53731622109829835</v>
      </c>
    </row>
    <row r="47" spans="1:32" x14ac:dyDescent="0.2">
      <c r="B47" s="4">
        <f>AVERAGE(B42:B46)</f>
        <v>0.71117996688254448</v>
      </c>
      <c r="C47" s="4">
        <f t="shared" ref="C47:M47" si="9">AVERAGE(C42:C46)</f>
        <v>0.91091221824282909</v>
      </c>
      <c r="D47" s="4">
        <f t="shared" si="9"/>
        <v>0.94099886960009904</v>
      </c>
      <c r="E47" s="4">
        <f t="shared" si="9"/>
        <v>0.78312108202297281</v>
      </c>
      <c r="F47" s="4">
        <f t="shared" si="9"/>
        <v>0.53473842887803236</v>
      </c>
      <c r="G47" s="4">
        <f t="shared" si="9"/>
        <v>0.42131483212966747</v>
      </c>
      <c r="H47" s="4">
        <f t="shared" si="9"/>
        <v>0.35440487095111017</v>
      </c>
      <c r="I47" s="4">
        <f t="shared" si="9"/>
        <v>0.34016198694757849</v>
      </c>
      <c r="J47" s="4">
        <f t="shared" si="9"/>
        <v>0.28717352525177109</v>
      </c>
      <c r="K47" s="4">
        <f t="shared" si="9"/>
        <v>0.2482929605387259</v>
      </c>
      <c r="L47" s="4">
        <f t="shared" si="9"/>
        <v>0.26765587938063701</v>
      </c>
      <c r="M47" s="4">
        <f t="shared" si="9"/>
        <v>0.26275248006401231</v>
      </c>
      <c r="N47" s="16">
        <f t="shared" si="4"/>
        <v>0.5052255917408317</v>
      </c>
    </row>
    <row r="48" spans="1:32" x14ac:dyDescent="0.2">
      <c r="N48" s="17"/>
    </row>
    <row r="49" spans="2:30" x14ac:dyDescent="0.2">
      <c r="B49" s="4">
        <v>0.71117996688254448</v>
      </c>
      <c r="C49" s="4">
        <v>0.91091221824282909</v>
      </c>
      <c r="D49" s="4">
        <v>0.94099886960009904</v>
      </c>
      <c r="E49" s="4">
        <v>0.78312108202297281</v>
      </c>
      <c r="F49" s="4">
        <v>0.53473842887803236</v>
      </c>
      <c r="G49" s="4">
        <v>0.42131483212966747</v>
      </c>
      <c r="H49" s="4">
        <v>0.35440487095111017</v>
      </c>
      <c r="I49" s="16">
        <v>0.53</v>
      </c>
      <c r="J49" s="16">
        <v>0.53</v>
      </c>
      <c r="K49" s="16">
        <v>0.53</v>
      </c>
      <c r="L49" s="4">
        <v>0.26765587938063701</v>
      </c>
      <c r="M49" s="4">
        <v>0.26275248006401231</v>
      </c>
      <c r="N49" s="16">
        <f>AVERAGE(B49:M49)</f>
        <v>0.56475655234599209</v>
      </c>
      <c r="O49" s="17">
        <f>N49-N47</f>
        <v>5.9530960605160388E-2</v>
      </c>
    </row>
    <row r="62" spans="2:30" x14ac:dyDescent="0.2">
      <c r="AB62" s="15"/>
      <c r="AC62" s="15"/>
      <c r="AD62" s="15"/>
    </row>
  </sheetData>
  <conditionalFormatting sqref="S32:AD36">
    <cfRule type="colorScale" priority="6">
      <colorScale>
        <cfvo type="min"/>
        <cfvo type="percentile" val="50"/>
        <cfvo type="max"/>
        <color rgb="FFFFABAD"/>
        <color theme="0"/>
        <color rgb="FF58B080"/>
      </colorScale>
    </cfRule>
  </conditionalFormatting>
  <conditionalFormatting sqref="S38:U38">
    <cfRule type="colorScale" priority="1">
      <colorScale>
        <cfvo type="min"/>
        <cfvo type="percentile" val="50"/>
        <cfvo type="max"/>
        <color rgb="FFFFABAD"/>
        <color theme="0"/>
        <color rgb="FF58B080"/>
      </colorScale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'25'!AF32:AF36</xm:f>
              <xm:sqref>AF37</xm:sqref>
            </x14:sparkline>
            <x14:sparkline>
              <xm:f>'25'!AG26:AG30</xm:f>
              <xm:sqref>AG31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97E-82C6-894A-9F59-5DFE81CBE085}">
  <dimension ref="A1:AG67"/>
  <sheetViews>
    <sheetView showGridLines="0" tabSelected="1" topLeftCell="H1" zoomScale="120" zoomScaleNormal="120" workbookViewId="0">
      <selection activeCell="AF16" sqref="AF16"/>
    </sheetView>
  </sheetViews>
  <sheetFormatPr baseColWidth="10" defaultRowHeight="16" x14ac:dyDescent="0.2"/>
  <cols>
    <col min="9" max="9" width="10.1640625" customWidth="1"/>
    <col min="19" max="32" width="2.83203125" customWidth="1"/>
  </cols>
  <sheetData>
    <row r="1" spans="1:18" x14ac:dyDescent="0.2">
      <c r="C1" t="s">
        <v>4</v>
      </c>
      <c r="E1" t="s">
        <v>5</v>
      </c>
      <c r="G1" t="s">
        <v>6</v>
      </c>
      <c r="I1" t="s">
        <v>2</v>
      </c>
      <c r="K1" t="s">
        <v>3</v>
      </c>
      <c r="M1" t="s">
        <v>8</v>
      </c>
    </row>
    <row r="2" spans="1:18" x14ac:dyDescent="0.2">
      <c r="C2">
        <f t="shared" ref="C2:G2" si="0">C13/C8</f>
        <v>1.1725490196078432</v>
      </c>
      <c r="E2">
        <f t="shared" si="0"/>
        <v>1.1236749116607767</v>
      </c>
      <c r="G2">
        <f t="shared" si="0"/>
        <v>1.1348837209302327</v>
      </c>
      <c r="I2">
        <f>I13/I8</f>
        <v>1.2046979865771821</v>
      </c>
      <c r="K2">
        <f>K13/K8</f>
        <v>1.0442477876106189</v>
      </c>
    </row>
    <row r="3" spans="1:18" x14ac:dyDescent="0.2">
      <c r="A3" s="1">
        <v>6</v>
      </c>
    </row>
    <row r="4" spans="1:18" x14ac:dyDescent="0.2">
      <c r="A4" s="2">
        <v>7</v>
      </c>
      <c r="C4">
        <v>0.23513513513513501</v>
      </c>
      <c r="E4">
        <v>0.27559055118110198</v>
      </c>
      <c r="G4">
        <v>0.23641304347826</v>
      </c>
      <c r="I4">
        <v>0.37270341207349</v>
      </c>
      <c r="K4">
        <v>0.278215223097112</v>
      </c>
      <c r="M4">
        <v>0.30213903743315501</v>
      </c>
      <c r="Q4" t="s">
        <v>13</v>
      </c>
      <c r="R4" t="s">
        <v>12</v>
      </c>
    </row>
    <row r="5" spans="1:18" x14ac:dyDescent="0.2">
      <c r="A5" s="2">
        <v>8</v>
      </c>
      <c r="B5">
        <v>0.50636132315521598</v>
      </c>
      <c r="C5">
        <v>0.42432432432432399</v>
      </c>
      <c r="D5">
        <v>0.449367088607594</v>
      </c>
      <c r="E5">
        <v>0.43832020997375298</v>
      </c>
      <c r="F5">
        <v>0.41845764854614398</v>
      </c>
      <c r="G5">
        <v>0.372282608695652</v>
      </c>
      <c r="H5">
        <v>0.59517766497461899</v>
      </c>
      <c r="I5">
        <v>0.60892388451443502</v>
      </c>
      <c r="J5">
        <v>0.57215189873417704</v>
      </c>
      <c r="K5">
        <v>0.488188976377952</v>
      </c>
      <c r="L5">
        <v>0.58576874205844898</v>
      </c>
      <c r="M5">
        <v>0.489304812834224</v>
      </c>
      <c r="N5">
        <v>0.35659898477157298</v>
      </c>
      <c r="O5">
        <v>0.33333333333333298</v>
      </c>
      <c r="P5" s="27">
        <v>3.98</v>
      </c>
      <c r="Q5" s="24">
        <f>AVERAGE(C5,E5,G5,I5,K5)</f>
        <v>0.46640800077722322</v>
      </c>
      <c r="R5">
        <f t="shared" ref="R5:R16" si="1">AVERAGE(B5,D5,F5,H5,J5,L5)</f>
        <v>0.52121406101269985</v>
      </c>
    </row>
    <row r="6" spans="1:18" x14ac:dyDescent="0.2">
      <c r="A6" s="2">
        <v>9</v>
      </c>
      <c r="B6">
        <v>0.56870229007633499</v>
      </c>
      <c r="C6">
        <v>0.61081081081081001</v>
      </c>
      <c r="D6">
        <v>0.556962025316455</v>
      </c>
      <c r="E6">
        <v>0.59580052493438296</v>
      </c>
      <c r="F6">
        <v>0.46523388116308401</v>
      </c>
      <c r="G6">
        <v>0.49184782608695599</v>
      </c>
      <c r="H6">
        <v>0.775380710659898</v>
      </c>
      <c r="I6">
        <v>0.75853018372703396</v>
      </c>
      <c r="J6">
        <v>0.66962025316455598</v>
      </c>
      <c r="K6">
        <v>0.69291338582677098</v>
      </c>
      <c r="L6">
        <v>0.74587039390088905</v>
      </c>
      <c r="M6">
        <v>0.67112299465240599</v>
      </c>
      <c r="N6">
        <v>0.5</v>
      </c>
      <c r="O6">
        <v>0.49095607235142102</v>
      </c>
      <c r="P6" s="27">
        <v>3.9</v>
      </c>
      <c r="Q6" s="24">
        <f t="shared" ref="Q6:Q16" si="2">AVERAGE(C6,E6,G6,I6,K6)</f>
        <v>0.6299805462771908</v>
      </c>
      <c r="R6">
        <f t="shared" si="1"/>
        <v>0.63029492571353618</v>
      </c>
    </row>
    <row r="7" spans="1:18" x14ac:dyDescent="0.2">
      <c r="A7" s="2">
        <v>10</v>
      </c>
      <c r="B7">
        <v>0.62722646310432495</v>
      </c>
      <c r="C7">
        <v>0.68918918918918903</v>
      </c>
      <c r="D7">
        <v>0.63670886075949296</v>
      </c>
      <c r="E7">
        <v>0.70603674540682404</v>
      </c>
      <c r="F7">
        <v>0.54108723135271797</v>
      </c>
      <c r="G7">
        <v>0.559782608695652</v>
      </c>
      <c r="H7">
        <v>0.89720812182741105</v>
      </c>
      <c r="I7">
        <v>0.78477690288713897</v>
      </c>
      <c r="J7">
        <v>0.810126582278481</v>
      </c>
      <c r="K7">
        <v>0.83989501312335901</v>
      </c>
      <c r="L7">
        <v>0.82592121982210898</v>
      </c>
      <c r="M7">
        <v>0.82085561497326198</v>
      </c>
      <c r="N7">
        <v>0.55456852791878097</v>
      </c>
      <c r="O7">
        <v>0.58656330749354002</v>
      </c>
      <c r="P7" s="27">
        <v>4.04</v>
      </c>
      <c r="Q7" s="24">
        <f t="shared" si="2"/>
        <v>0.7159360918604325</v>
      </c>
      <c r="R7">
        <f t="shared" si="1"/>
        <v>0.72304641319075624</v>
      </c>
    </row>
    <row r="8" spans="1:18" x14ac:dyDescent="0.2">
      <c r="A8" s="2">
        <v>11</v>
      </c>
      <c r="B8">
        <v>0.75826972010178095</v>
      </c>
      <c r="C8">
        <v>0.68918918918918903</v>
      </c>
      <c r="D8">
        <v>0.658227848101265</v>
      </c>
      <c r="E8">
        <v>0.74278215223097099</v>
      </c>
      <c r="F8">
        <v>0.62452591656131395</v>
      </c>
      <c r="G8">
        <v>0.58423913043478204</v>
      </c>
      <c r="H8">
        <v>0.807106598984771</v>
      </c>
      <c r="I8">
        <v>0.78215223097112796</v>
      </c>
      <c r="J8">
        <v>0.9</v>
      </c>
      <c r="K8">
        <v>0.88976377952755903</v>
      </c>
      <c r="L8">
        <v>0.83608640406607304</v>
      </c>
      <c r="M8">
        <v>0.84759358288770004</v>
      </c>
      <c r="N8">
        <v>0.51776649746192804</v>
      </c>
      <c r="O8">
        <v>0.59689922480620095</v>
      </c>
      <c r="P8" s="27">
        <v>4.0599999999999996</v>
      </c>
      <c r="Q8" s="24">
        <f t="shared" si="2"/>
        <v>0.73762529647072572</v>
      </c>
      <c r="R8">
        <f t="shared" si="1"/>
        <v>0.76403608130253409</v>
      </c>
    </row>
    <row r="9" spans="1:18" x14ac:dyDescent="0.2">
      <c r="A9" s="2">
        <v>12</v>
      </c>
      <c r="B9">
        <v>0.72519083969465603</v>
      </c>
      <c r="C9">
        <v>0.678378378378378</v>
      </c>
      <c r="D9">
        <v>0.76962025316455696</v>
      </c>
      <c r="E9">
        <v>0.74278215223097099</v>
      </c>
      <c r="F9">
        <v>0.51074589127686398</v>
      </c>
      <c r="G9">
        <v>0.55706521739130399</v>
      </c>
      <c r="H9">
        <v>0.64086294416243605</v>
      </c>
      <c r="I9">
        <v>0.77165354330708602</v>
      </c>
      <c r="J9">
        <v>0.84683544303797398</v>
      </c>
      <c r="K9">
        <v>0.86351706036745401</v>
      </c>
      <c r="L9">
        <v>0.64803049555273196</v>
      </c>
      <c r="M9">
        <v>0.76470588235294101</v>
      </c>
      <c r="N9">
        <v>0.449238578680203</v>
      </c>
      <c r="O9">
        <v>0.55813953488372003</v>
      </c>
      <c r="P9" s="27">
        <v>4.0199999999999996</v>
      </c>
      <c r="Q9" s="24">
        <f t="shared" si="2"/>
        <v>0.72267927033503854</v>
      </c>
      <c r="R9">
        <f t="shared" si="1"/>
        <v>0.6902143111482032</v>
      </c>
    </row>
    <row r="10" spans="1:18" x14ac:dyDescent="0.2">
      <c r="A10" s="2">
        <v>13</v>
      </c>
      <c r="B10">
        <v>0.65139949109414697</v>
      </c>
      <c r="C10">
        <v>0.70270270270270196</v>
      </c>
      <c r="D10">
        <v>0.670886075949367</v>
      </c>
      <c r="E10">
        <v>0.77165354330708602</v>
      </c>
      <c r="F10">
        <v>0.47408343868520803</v>
      </c>
      <c r="G10">
        <v>0.559782608695652</v>
      </c>
      <c r="H10">
        <v>0.67766497461928898</v>
      </c>
      <c r="I10">
        <v>0.79790026246719103</v>
      </c>
      <c r="J10">
        <v>0.67974683544303804</v>
      </c>
      <c r="K10">
        <v>0.85039370078740095</v>
      </c>
      <c r="L10">
        <v>0.55146124523507001</v>
      </c>
      <c r="M10">
        <v>0.67647058823529405</v>
      </c>
      <c r="N10">
        <v>0.449238578680203</v>
      </c>
      <c r="O10">
        <v>0.50645994832041297</v>
      </c>
      <c r="P10" s="27">
        <v>3.9</v>
      </c>
      <c r="Q10" s="24">
        <f t="shared" si="2"/>
        <v>0.73648656359200637</v>
      </c>
      <c r="R10">
        <f t="shared" si="1"/>
        <v>0.61754034350435305</v>
      </c>
    </row>
    <row r="11" spans="1:18" x14ac:dyDescent="0.2">
      <c r="A11" s="2">
        <v>14</v>
      </c>
      <c r="B11">
        <v>0.72646310432569905</v>
      </c>
      <c r="C11">
        <v>0.76756756756756706</v>
      </c>
      <c r="D11">
        <v>0.696202531645569</v>
      </c>
      <c r="E11">
        <v>0.79790026246719103</v>
      </c>
      <c r="F11">
        <v>0.51706700379266701</v>
      </c>
      <c r="G11">
        <v>0.59782608695652095</v>
      </c>
      <c r="H11">
        <v>0.71573604060913698</v>
      </c>
      <c r="I11">
        <v>0.837270341207349</v>
      </c>
      <c r="J11">
        <v>0.78101265822784804</v>
      </c>
      <c r="K11">
        <v>0.87401574803149595</v>
      </c>
      <c r="L11">
        <v>0.49555273189326499</v>
      </c>
      <c r="M11">
        <v>0.60962566844919797</v>
      </c>
      <c r="N11">
        <v>0.49619289340101502</v>
      </c>
      <c r="O11">
        <v>0.53229974160206694</v>
      </c>
      <c r="P11" s="27">
        <v>3.92</v>
      </c>
      <c r="Q11" s="24">
        <f t="shared" si="2"/>
        <v>0.77491600124602489</v>
      </c>
      <c r="R11">
        <f t="shared" si="1"/>
        <v>0.65533901174903086</v>
      </c>
    </row>
    <row r="12" spans="1:18" x14ac:dyDescent="0.2">
      <c r="A12" s="2">
        <v>15</v>
      </c>
      <c r="B12">
        <v>0.661577608142493</v>
      </c>
      <c r="C12">
        <v>0.821621621621621</v>
      </c>
      <c r="D12">
        <v>0.67468354430379696</v>
      </c>
      <c r="E12">
        <v>0.837270341207349</v>
      </c>
      <c r="F12">
        <v>0.51453855878634602</v>
      </c>
      <c r="G12">
        <v>0.65217391304347805</v>
      </c>
      <c r="H12">
        <v>0.69416243654822296</v>
      </c>
      <c r="I12">
        <v>0.90288713910761098</v>
      </c>
      <c r="J12">
        <v>0.81898734177215105</v>
      </c>
      <c r="K12">
        <v>0.91601049868766404</v>
      </c>
      <c r="L12">
        <v>0.48792884371029199</v>
      </c>
      <c r="M12">
        <v>0.62299465240641705</v>
      </c>
      <c r="N12">
        <v>0.46700507614213199</v>
      </c>
      <c r="O12">
        <v>0.59948320413436595</v>
      </c>
      <c r="P12" s="27">
        <v>3.96</v>
      </c>
      <c r="Q12" s="24">
        <f t="shared" si="2"/>
        <v>0.82599270273354475</v>
      </c>
      <c r="R12">
        <f t="shared" si="1"/>
        <v>0.64197972221055033</v>
      </c>
    </row>
    <row r="13" spans="1:18" x14ac:dyDescent="0.2">
      <c r="A13" s="2">
        <v>16</v>
      </c>
      <c r="B13">
        <v>0.70229007633587703</v>
      </c>
      <c r="C13">
        <v>0.80810810810810796</v>
      </c>
      <c r="D13">
        <v>0.69746835443037902</v>
      </c>
      <c r="E13">
        <v>0.83464566929133799</v>
      </c>
      <c r="F13">
        <v>0.56005056890012594</v>
      </c>
      <c r="G13">
        <v>0.66304347826086896</v>
      </c>
      <c r="H13">
        <v>0.67005076142131903</v>
      </c>
      <c r="I13">
        <v>0.94225721784776895</v>
      </c>
      <c r="J13">
        <v>0.79999999999999905</v>
      </c>
      <c r="K13">
        <v>0.929133858267716</v>
      </c>
      <c r="L13">
        <v>0.45616264294790299</v>
      </c>
      <c r="M13">
        <v>0.67379679144384996</v>
      </c>
      <c r="N13">
        <v>0.44162436548223299</v>
      </c>
      <c r="O13">
        <v>0.63824289405684698</v>
      </c>
      <c r="P13" s="27">
        <v>3.18</v>
      </c>
      <c r="Q13" s="24">
        <f t="shared" si="2"/>
        <v>0.83543766635515992</v>
      </c>
      <c r="R13">
        <f t="shared" si="1"/>
        <v>0.64767040067260051</v>
      </c>
    </row>
    <row r="14" spans="1:18" x14ac:dyDescent="0.2">
      <c r="A14" s="2">
        <v>17</v>
      </c>
      <c r="B14">
        <v>0.74173027989821805</v>
      </c>
      <c r="C14">
        <v>0.70270270270270196</v>
      </c>
      <c r="D14">
        <v>0.67594936708860698</v>
      </c>
      <c r="E14">
        <v>0.78215223097112796</v>
      </c>
      <c r="F14">
        <v>0.57522123893805299</v>
      </c>
      <c r="G14">
        <v>0.61141304347826098</v>
      </c>
      <c r="H14">
        <v>0.74238578680203005</v>
      </c>
      <c r="I14">
        <v>0.87401574803149595</v>
      </c>
      <c r="J14">
        <v>0.75696202531645496</v>
      </c>
      <c r="K14">
        <v>0.87664041994750597</v>
      </c>
      <c r="L14">
        <v>0.48665819567979601</v>
      </c>
      <c r="M14">
        <v>0.67379679144384996</v>
      </c>
      <c r="N14">
        <v>0.43781725888324802</v>
      </c>
      <c r="O14">
        <v>0.60981912144702799</v>
      </c>
      <c r="P14" s="27">
        <v>2.9</v>
      </c>
      <c r="Q14" s="24">
        <f t="shared" si="2"/>
        <v>0.76938482902621852</v>
      </c>
      <c r="R14">
        <f t="shared" si="1"/>
        <v>0.66315114895385985</v>
      </c>
    </row>
    <row r="15" spans="1:18" x14ac:dyDescent="0.2">
      <c r="A15" s="2">
        <v>18</v>
      </c>
      <c r="B15">
        <v>0.59923664122137399</v>
      </c>
      <c r="C15">
        <v>0.55675675675675595</v>
      </c>
      <c r="D15">
        <v>0.63670886075949296</v>
      </c>
      <c r="E15">
        <v>0.64829396325459299</v>
      </c>
      <c r="F15">
        <v>0.39443742098609302</v>
      </c>
      <c r="G15">
        <v>0.49184782608695599</v>
      </c>
      <c r="H15">
        <v>0.53934010152284195</v>
      </c>
      <c r="I15">
        <v>0.72965879265091804</v>
      </c>
      <c r="J15">
        <v>0.677215189873417</v>
      </c>
      <c r="K15">
        <v>0.74540682414698101</v>
      </c>
      <c r="L15">
        <v>0.49301143583227403</v>
      </c>
      <c r="M15">
        <v>0.59893048128342197</v>
      </c>
      <c r="N15">
        <v>0.435279187817258</v>
      </c>
      <c r="O15">
        <v>0.49095607235142102</v>
      </c>
      <c r="P15" s="27">
        <v>2.9</v>
      </c>
      <c r="Q15" s="24">
        <f t="shared" si="2"/>
        <v>0.63439283257924073</v>
      </c>
      <c r="R15">
        <f t="shared" si="1"/>
        <v>0.55665827503258214</v>
      </c>
    </row>
    <row r="16" spans="1:18" x14ac:dyDescent="0.2">
      <c r="A16" s="2">
        <v>19</v>
      </c>
      <c r="B16">
        <v>0.42620865139949099</v>
      </c>
      <c r="C16">
        <v>0.38648648648648598</v>
      </c>
      <c r="D16">
        <v>0.48607594936708798</v>
      </c>
      <c r="E16">
        <v>0.47769028871391001</v>
      </c>
      <c r="F16">
        <v>0.31858407079646001</v>
      </c>
      <c r="G16">
        <v>0.36141304347825998</v>
      </c>
      <c r="H16">
        <v>0.38959390862944099</v>
      </c>
      <c r="I16">
        <v>0.51706036745406803</v>
      </c>
      <c r="J16">
        <v>0.52784810126582205</v>
      </c>
      <c r="K16">
        <v>0.55643044619422499</v>
      </c>
      <c r="L16">
        <v>0.40025412960609902</v>
      </c>
      <c r="M16">
        <v>0.45187165775401</v>
      </c>
      <c r="N16">
        <v>0.32994923857868003</v>
      </c>
      <c r="O16">
        <v>0.33333333333333298</v>
      </c>
      <c r="P16" s="27">
        <v>2.78</v>
      </c>
      <c r="Q16" s="24">
        <f t="shared" si="2"/>
        <v>0.45981612646538972</v>
      </c>
      <c r="R16">
        <f t="shared" si="1"/>
        <v>0.42476080184406689</v>
      </c>
    </row>
    <row r="17" spans="1:23" x14ac:dyDescent="0.2">
      <c r="A17" s="2">
        <v>20</v>
      </c>
      <c r="C17">
        <v>0.23783783783783699</v>
      </c>
      <c r="E17">
        <v>0.278215223097112</v>
      </c>
      <c r="G17">
        <v>0.21467391304347799</v>
      </c>
      <c r="I17">
        <v>0.31758530183727002</v>
      </c>
      <c r="K17">
        <v>0.37270341207349</v>
      </c>
      <c r="M17">
        <v>0.27540106951871601</v>
      </c>
    </row>
    <row r="18" spans="1:23" x14ac:dyDescent="0.2">
      <c r="A18" s="3"/>
      <c r="Q18" s="28">
        <f>Q13-Q8</f>
        <v>9.7812369884434203E-2</v>
      </c>
    </row>
    <row r="19" spans="1:23" x14ac:dyDescent="0.2">
      <c r="B19">
        <v>7.2283720000000002</v>
      </c>
      <c r="D19">
        <v>7.1411389999999999</v>
      </c>
      <c r="F19">
        <v>5.5455120000000004</v>
      </c>
      <c r="H19">
        <v>7.6522839999999999</v>
      </c>
      <c r="J19">
        <v>8.2905060000000006</v>
      </c>
      <c r="L19">
        <v>6.5196949999999996</v>
      </c>
      <c r="N19">
        <v>5.0920050000000003</v>
      </c>
    </row>
    <row r="20" spans="1:23" x14ac:dyDescent="0.2">
      <c r="B20" s="21"/>
      <c r="C20">
        <v>7.43</v>
      </c>
      <c r="D20" s="21"/>
      <c r="E20">
        <v>7.92</v>
      </c>
      <c r="F20" s="21"/>
      <c r="G20">
        <v>6.14</v>
      </c>
      <c r="H20" s="21"/>
      <c r="I20">
        <v>8.74</v>
      </c>
      <c r="J20" s="21"/>
      <c r="K20">
        <v>9</v>
      </c>
      <c r="L20" s="21"/>
      <c r="M20">
        <v>7.43</v>
      </c>
      <c r="N20" s="21"/>
      <c r="O20">
        <v>5.94</v>
      </c>
    </row>
    <row r="21" spans="1:23" x14ac:dyDescent="0.2">
      <c r="B21" s="21"/>
      <c r="D21" s="21"/>
      <c r="F21" s="21"/>
      <c r="H21" s="21"/>
      <c r="J21" s="21"/>
      <c r="L21" s="21"/>
      <c r="N21" s="21"/>
    </row>
    <row r="22" spans="1:23" x14ac:dyDescent="0.2">
      <c r="B22" t="s">
        <v>4</v>
      </c>
      <c r="C22" t="s">
        <v>5</v>
      </c>
      <c r="D22" t="s">
        <v>6</v>
      </c>
      <c r="E22" t="s">
        <v>15</v>
      </c>
      <c r="F22" t="s">
        <v>3</v>
      </c>
      <c r="G22" t="s">
        <v>8</v>
      </c>
      <c r="H22" t="s">
        <v>14</v>
      </c>
      <c r="I22" t="s">
        <v>16</v>
      </c>
    </row>
    <row r="23" spans="1:23" ht="19" x14ac:dyDescent="0.2">
      <c r="B23">
        <v>7.2283720000000002</v>
      </c>
      <c r="C23">
        <v>7.1411389999999999</v>
      </c>
      <c r="D23">
        <v>5.5455120000000004</v>
      </c>
      <c r="E23">
        <v>7.6522839999999999</v>
      </c>
      <c r="F23">
        <v>8.2905060000000006</v>
      </c>
      <c r="G23">
        <v>6.5196949999999996</v>
      </c>
      <c r="H23">
        <v>5.0920050000000003</v>
      </c>
      <c r="I23">
        <f>SUM(B23:H23)</f>
        <v>47.469512999999999</v>
      </c>
      <c r="W23" s="14"/>
    </row>
    <row r="24" spans="1:23" x14ac:dyDescent="0.2">
      <c r="B24">
        <v>7.43</v>
      </c>
      <c r="C24">
        <v>7.92</v>
      </c>
      <c r="D24">
        <v>6.14</v>
      </c>
      <c r="E24">
        <v>8.74</v>
      </c>
      <c r="F24">
        <v>9</v>
      </c>
      <c r="G24">
        <v>7.43</v>
      </c>
      <c r="H24">
        <v>5.94</v>
      </c>
      <c r="I24">
        <f>SUM(B24:H24)</f>
        <v>52.599999999999994</v>
      </c>
    </row>
    <row r="25" spans="1:23" x14ac:dyDescent="0.2">
      <c r="B25" s="24">
        <f t="shared" ref="B25:H25" si="3">1-B23/B24</f>
        <v>2.7137012113055081E-2</v>
      </c>
      <c r="C25" s="24">
        <f t="shared" si="3"/>
        <v>9.8341035353535333E-2</v>
      </c>
      <c r="D25" s="24">
        <f t="shared" si="3"/>
        <v>9.6822149837133442E-2</v>
      </c>
      <c r="E25" s="24">
        <f t="shared" si="3"/>
        <v>0.12445263157894737</v>
      </c>
      <c r="F25" s="24">
        <f t="shared" si="3"/>
        <v>7.8832666666666551E-2</v>
      </c>
      <c r="G25" s="24">
        <f t="shared" si="3"/>
        <v>0.12251749663526246</v>
      </c>
      <c r="H25" s="24">
        <f t="shared" si="3"/>
        <v>0.14276010101010106</v>
      </c>
      <c r="I25" s="16">
        <f t="shared" ref="I25" si="4">I23/I24</f>
        <v>0.90246222433460088</v>
      </c>
    </row>
    <row r="26" spans="1:23" x14ac:dyDescent="0.2">
      <c r="B26">
        <v>31647</v>
      </c>
      <c r="C26">
        <v>30587</v>
      </c>
      <c r="D26">
        <v>24189</v>
      </c>
      <c r="E26">
        <v>34008</v>
      </c>
      <c r="F26">
        <v>35278</v>
      </c>
      <c r="G26">
        <v>27893</v>
      </c>
      <c r="H26">
        <v>21966</v>
      </c>
    </row>
    <row r="27" spans="1:23" x14ac:dyDescent="0.2">
      <c r="B27">
        <f>B25*B26</f>
        <v>858.80502234185417</v>
      </c>
      <c r="C27">
        <f t="shared" ref="C27:H27" si="5">C25*C26</f>
        <v>3007.9572483585853</v>
      </c>
      <c r="D27">
        <f t="shared" si="5"/>
        <v>2342.0309824104206</v>
      </c>
      <c r="E27">
        <f t="shared" si="5"/>
        <v>4232.3850947368419</v>
      </c>
      <c r="F27">
        <f t="shared" si="5"/>
        <v>2781.0588146666628</v>
      </c>
      <c r="G27">
        <f t="shared" si="5"/>
        <v>3417.3805336473756</v>
      </c>
      <c r="H27">
        <f t="shared" si="5"/>
        <v>3135.8683787878799</v>
      </c>
    </row>
    <row r="29" spans="1:23" x14ac:dyDescent="0.2">
      <c r="B29" s="2">
        <v>8</v>
      </c>
      <c r="C29" s="2">
        <v>9</v>
      </c>
      <c r="D29" s="2">
        <v>10</v>
      </c>
      <c r="E29" s="2">
        <v>11</v>
      </c>
      <c r="F29" s="2">
        <v>12</v>
      </c>
      <c r="G29" s="2">
        <v>13</v>
      </c>
      <c r="H29" s="2">
        <v>14</v>
      </c>
      <c r="I29" s="2">
        <v>15</v>
      </c>
      <c r="J29" s="2">
        <v>16</v>
      </c>
      <c r="K29" s="2">
        <v>17</v>
      </c>
      <c r="L29" s="2">
        <v>18</v>
      </c>
      <c r="M29" s="2">
        <v>19</v>
      </c>
    </row>
    <row r="30" spans="1:23" x14ac:dyDescent="0.2">
      <c r="A30" t="s">
        <v>4</v>
      </c>
      <c r="B30">
        <v>0.50636132315521598</v>
      </c>
      <c r="C30">
        <v>0.56870229007633499</v>
      </c>
      <c r="D30">
        <v>0.62722646310432495</v>
      </c>
      <c r="E30">
        <v>0.75826972010178095</v>
      </c>
      <c r="F30">
        <v>0.72519083969465603</v>
      </c>
      <c r="G30">
        <v>0.65139949109414697</v>
      </c>
      <c r="H30">
        <v>0.72646310432569905</v>
      </c>
      <c r="I30">
        <v>0.661577608142493</v>
      </c>
      <c r="J30">
        <v>0.70229007633587703</v>
      </c>
      <c r="K30">
        <v>0.74173027989821805</v>
      </c>
      <c r="L30">
        <v>0.59923664122137399</v>
      </c>
      <c r="M30">
        <v>0.42620865139949099</v>
      </c>
    </row>
    <row r="31" spans="1:23" x14ac:dyDescent="0.2">
      <c r="B31">
        <v>0.42432432432432399</v>
      </c>
      <c r="C31">
        <v>0.61081081081081001</v>
      </c>
      <c r="D31">
        <v>0.68918918918918903</v>
      </c>
      <c r="E31">
        <v>0.68918918918918903</v>
      </c>
      <c r="F31">
        <v>0.678378378378378</v>
      </c>
      <c r="G31">
        <v>0.70270270270270196</v>
      </c>
      <c r="H31">
        <v>0.76756756756756706</v>
      </c>
      <c r="I31">
        <v>0.821621621621621</v>
      </c>
      <c r="J31">
        <v>0.80810810810810796</v>
      </c>
      <c r="K31">
        <v>0.70270270270270196</v>
      </c>
      <c r="L31">
        <v>0.55675675675675595</v>
      </c>
      <c r="M31">
        <v>0.38648648648648598</v>
      </c>
    </row>
    <row r="32" spans="1:23" x14ac:dyDescent="0.2">
      <c r="A32" t="s">
        <v>5</v>
      </c>
      <c r="B32">
        <v>0.449367088607594</v>
      </c>
      <c r="C32">
        <v>0.556962025316455</v>
      </c>
      <c r="D32">
        <v>0.63670886075949296</v>
      </c>
      <c r="E32">
        <v>0.658227848101265</v>
      </c>
      <c r="F32">
        <v>0.76962025316455696</v>
      </c>
      <c r="G32">
        <v>0.670886075949367</v>
      </c>
      <c r="H32">
        <v>0.696202531645569</v>
      </c>
      <c r="I32">
        <v>0.67468354430379696</v>
      </c>
      <c r="J32">
        <v>0.69746835443037902</v>
      </c>
      <c r="K32">
        <v>0.67594936708860698</v>
      </c>
      <c r="L32">
        <v>0.63670886075949296</v>
      </c>
      <c r="M32">
        <v>0.48607594936708798</v>
      </c>
    </row>
    <row r="33" spans="1:33" ht="19" x14ac:dyDescent="0.2">
      <c r="B33">
        <v>0.43832020997375298</v>
      </c>
      <c r="C33">
        <v>0.59580052493438296</v>
      </c>
      <c r="D33">
        <v>0.70603674540682404</v>
      </c>
      <c r="E33">
        <v>0.74278215223097099</v>
      </c>
      <c r="F33">
        <v>0.74278215223097099</v>
      </c>
      <c r="G33">
        <v>0.77165354330708602</v>
      </c>
      <c r="H33">
        <v>0.79790026246719103</v>
      </c>
      <c r="I33">
        <v>0.837270341207349</v>
      </c>
      <c r="J33">
        <v>0.83464566929133799</v>
      </c>
      <c r="K33">
        <v>0.78215223097112796</v>
      </c>
      <c r="L33">
        <v>0.64829396325459299</v>
      </c>
      <c r="M33">
        <v>0.47769028871391001</v>
      </c>
      <c r="W33" s="14"/>
    </row>
    <row r="34" spans="1:33" x14ac:dyDescent="0.2">
      <c r="A34" t="s">
        <v>6</v>
      </c>
      <c r="B34">
        <v>0.41845764854614398</v>
      </c>
      <c r="C34">
        <v>0.46523388116308401</v>
      </c>
      <c r="D34">
        <v>0.54108723135271797</v>
      </c>
      <c r="E34">
        <v>0.62452591656131395</v>
      </c>
      <c r="F34">
        <v>0.51074589127686398</v>
      </c>
      <c r="G34">
        <v>0.47408343868520803</v>
      </c>
      <c r="H34">
        <v>0.51706700379266701</v>
      </c>
      <c r="I34">
        <v>0.51453855878634602</v>
      </c>
      <c r="J34">
        <v>0.56005056890012594</v>
      </c>
      <c r="K34">
        <v>0.57522123893805299</v>
      </c>
      <c r="L34">
        <v>0.39443742098609302</v>
      </c>
      <c r="M34">
        <v>0.31858407079646001</v>
      </c>
    </row>
    <row r="35" spans="1:33" x14ac:dyDescent="0.2">
      <c r="B35">
        <v>0.372282608695652</v>
      </c>
      <c r="C35">
        <v>0.49184782608695599</v>
      </c>
      <c r="D35">
        <v>0.559782608695652</v>
      </c>
      <c r="E35">
        <v>0.58423913043478204</v>
      </c>
      <c r="F35">
        <v>0.55706521739130399</v>
      </c>
      <c r="G35">
        <v>0.559782608695652</v>
      </c>
      <c r="H35">
        <v>0.59782608695652095</v>
      </c>
      <c r="I35">
        <v>0.65217391304347805</v>
      </c>
      <c r="J35">
        <v>0.66304347826086896</v>
      </c>
      <c r="K35">
        <v>0.61141304347826098</v>
      </c>
      <c r="L35">
        <v>0.49184782608695599</v>
      </c>
      <c r="M35">
        <v>0.36141304347825998</v>
      </c>
      <c r="S35" s="20">
        <v>8</v>
      </c>
      <c r="T35" s="20">
        <v>9</v>
      </c>
      <c r="U35" s="20">
        <v>10</v>
      </c>
      <c r="V35" s="20">
        <v>11</v>
      </c>
      <c r="W35" s="20">
        <v>12</v>
      </c>
      <c r="X35" s="20">
        <v>13</v>
      </c>
      <c r="Y35" s="20">
        <v>14</v>
      </c>
      <c r="Z35" s="20">
        <v>15</v>
      </c>
      <c r="AA35" s="20">
        <v>16</v>
      </c>
      <c r="AB35" s="20">
        <v>17</v>
      </c>
      <c r="AC35" s="20">
        <v>18</v>
      </c>
      <c r="AD35" s="20">
        <v>19</v>
      </c>
    </row>
    <row r="36" spans="1:33" x14ac:dyDescent="0.2">
      <c r="A36" t="s">
        <v>2</v>
      </c>
      <c r="B36">
        <v>0.59517766497461899</v>
      </c>
      <c r="C36">
        <v>0.775380710659898</v>
      </c>
      <c r="D36">
        <v>0.89720812182741105</v>
      </c>
      <c r="E36">
        <v>0.807106598984771</v>
      </c>
      <c r="F36">
        <v>0.64086294416243605</v>
      </c>
      <c r="G36">
        <v>0.67766497461928898</v>
      </c>
      <c r="H36">
        <v>0.71573604060913698</v>
      </c>
      <c r="I36">
        <v>0.69416243654822296</v>
      </c>
      <c r="J36">
        <v>0.67005076142131903</v>
      </c>
      <c r="K36">
        <v>0.74238578680203005</v>
      </c>
      <c r="L36">
        <v>0.53934010152284195</v>
      </c>
      <c r="M36">
        <v>0.38959390862944099</v>
      </c>
      <c r="R36" s="19" t="s">
        <v>4</v>
      </c>
      <c r="S36" s="10">
        <v>1.1933356023403188</v>
      </c>
      <c r="T36" s="10">
        <v>0.93106127136391248</v>
      </c>
      <c r="U36" s="10">
        <v>0.91009329940627559</v>
      </c>
      <c r="V36" s="10">
        <v>1.1002344958339569</v>
      </c>
      <c r="W36" s="10">
        <v>1.0690064170797724</v>
      </c>
      <c r="X36" s="10">
        <v>0.92699158348013322</v>
      </c>
      <c r="Y36" s="10">
        <v>0.94644841056517193</v>
      </c>
      <c r="Z36" s="10">
        <v>0.80520958885764016</v>
      </c>
      <c r="AA36" s="10">
        <v>0.86905460951262392</v>
      </c>
      <c r="AB36" s="10">
        <v>1.0555392444705423</v>
      </c>
      <c r="AC36" s="10">
        <v>1.0762988216112073</v>
      </c>
      <c r="AD36" s="10">
        <v>1.1027776294951879</v>
      </c>
      <c r="AF36" s="23">
        <f>AVERAGE(S36:AD36)</f>
        <v>0.99883758116806198</v>
      </c>
      <c r="AG36" s="10"/>
    </row>
    <row r="37" spans="1:33" x14ac:dyDescent="0.2">
      <c r="B37">
        <v>0.60892388451443502</v>
      </c>
      <c r="C37">
        <v>0.75853018372703396</v>
      </c>
      <c r="D37">
        <v>0.78477690288713897</v>
      </c>
      <c r="E37">
        <v>0.78215223097112796</v>
      </c>
      <c r="F37">
        <v>0.77165354330708602</v>
      </c>
      <c r="G37">
        <v>0.79790026246719103</v>
      </c>
      <c r="H37">
        <v>0.837270341207349</v>
      </c>
      <c r="I37">
        <v>0.90288713910761098</v>
      </c>
      <c r="J37">
        <v>0.94225721784776895</v>
      </c>
      <c r="K37">
        <v>0.87401574803149595</v>
      </c>
      <c r="L37">
        <v>0.72965879265091804</v>
      </c>
      <c r="M37">
        <v>0.51706036745406803</v>
      </c>
      <c r="R37" s="19" t="s">
        <v>5</v>
      </c>
      <c r="S37" s="10">
        <v>1.0252027590388828</v>
      </c>
      <c r="T37" s="10">
        <v>0.93481291473819139</v>
      </c>
      <c r="U37" s="10">
        <v>0.90180697378946784</v>
      </c>
      <c r="V37" s="10">
        <v>0.88616540680771028</v>
      </c>
      <c r="W37" s="10">
        <v>1.0361318602674778</v>
      </c>
      <c r="X37" s="10">
        <v>0.86941358822009873</v>
      </c>
      <c r="Y37" s="10">
        <v>0.87254330446369066</v>
      </c>
      <c r="Z37" s="10">
        <v>0.80581326137851617</v>
      </c>
      <c r="AA37" s="10">
        <v>0.83564604728922831</v>
      </c>
      <c r="AB37" s="10">
        <v>0.86421714382805193</v>
      </c>
      <c r="AC37" s="10">
        <v>0.98212986214318576</v>
      </c>
      <c r="AD37" s="10">
        <v>1.0175545973014331</v>
      </c>
      <c r="AF37" s="23">
        <f t="shared" ref="AF37:AF42" si="6">AVERAGE(S37:AD37)</f>
        <v>0.91928647660549467</v>
      </c>
    </row>
    <row r="38" spans="1:33" x14ac:dyDescent="0.2">
      <c r="A38" t="s">
        <v>3</v>
      </c>
      <c r="B38">
        <v>0.57215189873417704</v>
      </c>
      <c r="C38">
        <v>0.66962025316455598</v>
      </c>
      <c r="D38">
        <v>0.810126582278481</v>
      </c>
      <c r="E38">
        <v>0.9</v>
      </c>
      <c r="F38">
        <v>0.84683544303797398</v>
      </c>
      <c r="G38">
        <v>0.67974683544303804</v>
      </c>
      <c r="H38">
        <v>0.78101265822784804</v>
      </c>
      <c r="I38">
        <v>0.81898734177215105</v>
      </c>
      <c r="J38">
        <v>0.79999999999999905</v>
      </c>
      <c r="K38">
        <v>0.75696202531645496</v>
      </c>
      <c r="L38">
        <v>0.677215189873417</v>
      </c>
      <c r="M38">
        <v>0.52784810126582205</v>
      </c>
      <c r="R38" s="19" t="s">
        <v>6</v>
      </c>
      <c r="S38" s="10">
        <v>1.1240322238319784</v>
      </c>
      <c r="T38" s="10">
        <v>0.94588987993378504</v>
      </c>
      <c r="U38" s="10">
        <v>0.96660243270776836</v>
      </c>
      <c r="V38" s="10">
        <v>1.0689559874165757</v>
      </c>
      <c r="W38" s="10">
        <v>0.9168511609262735</v>
      </c>
      <c r="X38" s="10">
        <v>0.84690633706872143</v>
      </c>
      <c r="Y38" s="10">
        <v>0.86491207907137146</v>
      </c>
      <c r="Z38" s="10">
        <v>0.78895912347239749</v>
      </c>
      <c r="AA38" s="10">
        <v>0.8446664317837973</v>
      </c>
      <c r="AB38" s="10">
        <v>0.94080629301868202</v>
      </c>
      <c r="AC38" s="10">
        <v>0.80195011559603535</v>
      </c>
      <c r="AD38" s="10">
        <v>0.88149577483532005</v>
      </c>
      <c r="AF38" s="23">
        <f t="shared" si="6"/>
        <v>0.91600231997189219</v>
      </c>
    </row>
    <row r="39" spans="1:33" x14ac:dyDescent="0.2">
      <c r="B39">
        <v>0.488188976377952</v>
      </c>
      <c r="C39">
        <v>0.69291338582677098</v>
      </c>
      <c r="D39">
        <v>0.83989501312335901</v>
      </c>
      <c r="E39">
        <v>0.88976377952755903</v>
      </c>
      <c r="F39">
        <v>0.86351706036745401</v>
      </c>
      <c r="G39">
        <v>0.85039370078740095</v>
      </c>
      <c r="H39">
        <v>0.87401574803149595</v>
      </c>
      <c r="I39">
        <v>0.91601049868766404</v>
      </c>
      <c r="J39">
        <v>0.929133858267716</v>
      </c>
      <c r="K39">
        <v>0.87664041994750597</v>
      </c>
      <c r="L39">
        <v>0.74540682414698101</v>
      </c>
      <c r="M39">
        <v>0.55643044619422499</v>
      </c>
      <c r="R39" s="19" t="s">
        <v>9</v>
      </c>
      <c r="S39" s="10">
        <v>0.97742538946262969</v>
      </c>
      <c r="T39" s="10">
        <v>1.0222147085170283</v>
      </c>
      <c r="U39" s="10">
        <v>1.1432651987165341</v>
      </c>
      <c r="V39" s="10">
        <v>1.0319047456818724</v>
      </c>
      <c r="W39" s="10">
        <v>0.83050606029213714</v>
      </c>
      <c r="X39" s="10">
        <v>0.84931037937483322</v>
      </c>
      <c r="Y39" s="10">
        <v>0.8548446127651449</v>
      </c>
      <c r="Z39" s="10">
        <v>0.76882525675835212</v>
      </c>
      <c r="AA39" s="10">
        <v>0.71111236797081501</v>
      </c>
      <c r="AB39" s="10">
        <v>0.84939635066538588</v>
      </c>
      <c r="AC39" s="10">
        <v>0.73916754920936312</v>
      </c>
      <c r="AD39" s="10">
        <v>0.75347857455744705</v>
      </c>
      <c r="AF39" s="23">
        <f t="shared" si="6"/>
        <v>0.87762093283096176</v>
      </c>
    </row>
    <row r="40" spans="1:33" x14ac:dyDescent="0.2">
      <c r="A40" t="s">
        <v>8</v>
      </c>
      <c r="B40">
        <v>0.58576874205844898</v>
      </c>
      <c r="C40">
        <v>0.74587039390088905</v>
      </c>
      <c r="D40">
        <v>0.82592121982210898</v>
      </c>
      <c r="E40">
        <v>0.83608640406607304</v>
      </c>
      <c r="F40">
        <v>0.64803049555273196</v>
      </c>
      <c r="G40">
        <v>0.55146124523507001</v>
      </c>
      <c r="H40">
        <v>0.49555273189326499</v>
      </c>
      <c r="I40">
        <v>0.48792884371029199</v>
      </c>
      <c r="J40">
        <v>0.45616264294790299</v>
      </c>
      <c r="K40">
        <v>0.48665819567979601</v>
      </c>
      <c r="L40">
        <v>0.49301143583227403</v>
      </c>
      <c r="M40">
        <v>0.40025412960609902</v>
      </c>
      <c r="R40" s="19" t="s">
        <v>3</v>
      </c>
      <c r="S40" s="10">
        <v>1.1719885667619452</v>
      </c>
      <c r="T40" s="10">
        <v>0.96638377445339418</v>
      </c>
      <c r="U40" s="10">
        <v>0.96455696202531704</v>
      </c>
      <c r="V40" s="10">
        <v>1.011504424778761</v>
      </c>
      <c r="W40" s="10">
        <v>0.9806817744603894</v>
      </c>
      <c r="X40" s="10">
        <v>0.79933192686357313</v>
      </c>
      <c r="Y40" s="10">
        <v>0.89359105941384431</v>
      </c>
      <c r="Z40" s="10">
        <v>0.89408073700627377</v>
      </c>
      <c r="AA40" s="10">
        <v>0.8610169491525419</v>
      </c>
      <c r="AB40" s="10">
        <v>0.86348063366936989</v>
      </c>
      <c r="AC40" s="10">
        <v>0.90851756106257775</v>
      </c>
      <c r="AD40" s="10">
        <v>0.94863267255791728</v>
      </c>
      <c r="AF40" s="23">
        <f t="shared" si="6"/>
        <v>0.93864725351715872</v>
      </c>
    </row>
    <row r="41" spans="1:33" x14ac:dyDescent="0.2">
      <c r="B41">
        <v>0.489304812834224</v>
      </c>
      <c r="C41">
        <v>0.67112299465240599</v>
      </c>
      <c r="D41">
        <v>0.82085561497326198</v>
      </c>
      <c r="E41">
        <v>0.84759358288770004</v>
      </c>
      <c r="F41">
        <v>0.76470588235294101</v>
      </c>
      <c r="G41">
        <v>0.67647058823529405</v>
      </c>
      <c r="H41">
        <v>0.60962566844919797</v>
      </c>
      <c r="I41">
        <v>0.62299465240641705</v>
      </c>
      <c r="J41">
        <v>0.67379679144384996</v>
      </c>
      <c r="K41">
        <v>0.67379679144384996</v>
      </c>
      <c r="L41">
        <v>0.59893048128342197</v>
      </c>
      <c r="M41">
        <v>0.45187165775401</v>
      </c>
      <c r="R41" s="19" t="s">
        <v>8</v>
      </c>
      <c r="S41" s="10">
        <v>1.1971448608189081</v>
      </c>
      <c r="T41" s="10">
        <v>1.1113766028642735</v>
      </c>
      <c r="U41" s="10">
        <v>1.0061711277311687</v>
      </c>
      <c r="V41" s="10">
        <v>0.98642370700539905</v>
      </c>
      <c r="W41" s="10">
        <v>0.84742449418434196</v>
      </c>
      <c r="X41" s="10">
        <v>0.81520357991271231</v>
      </c>
      <c r="Y41" s="10">
        <v>0.81288035845649598</v>
      </c>
      <c r="Z41" s="10">
        <v>0.78319908818733575</v>
      </c>
      <c r="AA41" s="10">
        <v>0.67700328754966588</v>
      </c>
      <c r="AB41" s="10">
        <v>0.72226256025493563</v>
      </c>
      <c r="AC41" s="10">
        <v>0.82315302232710108</v>
      </c>
      <c r="AD41" s="10">
        <v>0.88576949392119086</v>
      </c>
      <c r="AF41" s="23">
        <f t="shared" si="6"/>
        <v>0.88900101526779418</v>
      </c>
    </row>
    <row r="42" spans="1:33" x14ac:dyDescent="0.2">
      <c r="A42" t="s">
        <v>17</v>
      </c>
      <c r="B42">
        <v>0.35659898477157298</v>
      </c>
      <c r="C42">
        <v>0.5</v>
      </c>
      <c r="D42">
        <v>0.55456852791878097</v>
      </c>
      <c r="E42">
        <v>0.51776649746192804</v>
      </c>
      <c r="F42">
        <v>0.449238578680203</v>
      </c>
      <c r="G42">
        <v>0.449238578680203</v>
      </c>
      <c r="H42">
        <v>0.49619289340101502</v>
      </c>
      <c r="I42">
        <v>0.46700507614213199</v>
      </c>
      <c r="J42">
        <v>0.44162436548223299</v>
      </c>
      <c r="K42">
        <v>0.43781725888324802</v>
      </c>
      <c r="L42">
        <v>0.435279187817258</v>
      </c>
      <c r="M42">
        <v>0.32994923857868003</v>
      </c>
      <c r="R42" s="19" t="s">
        <v>14</v>
      </c>
      <c r="S42" s="10">
        <v>1.0697969543147201</v>
      </c>
      <c r="T42" s="10">
        <v>1.0184210526315793</v>
      </c>
      <c r="U42" s="10">
        <v>0.94545383394082927</v>
      </c>
      <c r="V42" s="10">
        <v>0.86742698925439976</v>
      </c>
      <c r="W42" s="10">
        <v>0.80488578680203171</v>
      </c>
      <c r="X42" s="10">
        <v>0.88701698953693231</v>
      </c>
      <c r="Y42" s="10">
        <v>0.93216820265142186</v>
      </c>
      <c r="Z42" s="10">
        <v>0.77901277787502321</v>
      </c>
      <c r="AA42" s="10">
        <v>0.691937771018722</v>
      </c>
      <c r="AB42" s="10">
        <v>0.71794609825346234</v>
      </c>
      <c r="AC42" s="10">
        <v>0.88659497729094161</v>
      </c>
      <c r="AD42" s="10">
        <v>0.98984771573604113</v>
      </c>
      <c r="AF42" s="23">
        <f t="shared" si="6"/>
        <v>0.88254242910884206</v>
      </c>
    </row>
    <row r="43" spans="1:33" x14ac:dyDescent="0.2">
      <c r="B43">
        <v>0.33333333333333298</v>
      </c>
      <c r="C43">
        <v>0.49095607235142102</v>
      </c>
      <c r="D43">
        <v>0.58656330749354002</v>
      </c>
      <c r="E43">
        <v>0.59689922480620095</v>
      </c>
      <c r="F43">
        <v>0.55813953488372003</v>
      </c>
      <c r="G43">
        <v>0.50645994832041297</v>
      </c>
      <c r="H43">
        <v>0.53229974160206694</v>
      </c>
      <c r="I43">
        <v>0.59948320413436595</v>
      </c>
      <c r="J43">
        <v>0.63824289405684698</v>
      </c>
      <c r="K43">
        <v>0.60981912144702799</v>
      </c>
      <c r="L43">
        <v>0.49095607235142102</v>
      </c>
      <c r="M43">
        <v>0.33333333333333298</v>
      </c>
    </row>
    <row r="44" spans="1:33" x14ac:dyDescent="0.2">
      <c r="S44" s="22">
        <f>AVERAGE(S36:S42)</f>
        <v>1.1084180509384833</v>
      </c>
      <c r="T44" s="22">
        <f t="shared" ref="T44:AD44" si="7">AVERAGE(T36:T42)</f>
        <v>0.99002288635745195</v>
      </c>
      <c r="U44" s="22">
        <f t="shared" si="7"/>
        <v>0.97684997547390862</v>
      </c>
      <c r="V44" s="22">
        <f t="shared" si="7"/>
        <v>0.99323082239695359</v>
      </c>
      <c r="W44" s="22">
        <f t="shared" si="7"/>
        <v>0.9264982220017749</v>
      </c>
      <c r="X44" s="22">
        <f t="shared" si="7"/>
        <v>0.85631062635100064</v>
      </c>
      <c r="Y44" s="22">
        <f t="shared" si="7"/>
        <v>0.88248400391244874</v>
      </c>
      <c r="Z44" s="22">
        <f t="shared" si="7"/>
        <v>0.80358569050507689</v>
      </c>
      <c r="AA44" s="22">
        <f t="shared" si="7"/>
        <v>0.78434820918248493</v>
      </c>
      <c r="AB44" s="22">
        <f t="shared" si="7"/>
        <v>0.85909261773720424</v>
      </c>
      <c r="AC44" s="22">
        <f t="shared" si="7"/>
        <v>0.88825884417720169</v>
      </c>
      <c r="AD44" s="22">
        <f t="shared" si="7"/>
        <v>0.9399366369149339</v>
      </c>
    </row>
    <row r="46" spans="1:33" x14ac:dyDescent="0.2">
      <c r="A46" t="s">
        <v>4</v>
      </c>
      <c r="B46">
        <f>B30/B31</f>
        <v>1.1933356023403188</v>
      </c>
      <c r="C46">
        <f t="shared" ref="C46:M46" si="8">C30/C31</f>
        <v>0.93106127136391248</v>
      </c>
      <c r="D46">
        <f t="shared" si="8"/>
        <v>0.91009329940627559</v>
      </c>
      <c r="E46">
        <f t="shared" si="8"/>
        <v>1.1002344958339569</v>
      </c>
      <c r="F46">
        <f t="shared" si="8"/>
        <v>1.0690064170797724</v>
      </c>
      <c r="G46">
        <f t="shared" si="8"/>
        <v>0.92699158348013322</v>
      </c>
      <c r="H46">
        <f t="shared" si="8"/>
        <v>0.94644841056517193</v>
      </c>
      <c r="I46">
        <f t="shared" si="8"/>
        <v>0.80520958885764016</v>
      </c>
      <c r="J46">
        <f t="shared" si="8"/>
        <v>0.86905460951262392</v>
      </c>
      <c r="K46">
        <f t="shared" si="8"/>
        <v>1.0555392444705423</v>
      </c>
      <c r="L46">
        <f t="shared" si="8"/>
        <v>1.0762988216112073</v>
      </c>
      <c r="M46">
        <f t="shared" si="8"/>
        <v>1.1027776294951879</v>
      </c>
      <c r="N46">
        <f t="shared" ref="N46:N52" si="9">AVERAGE(B46:M46)</f>
        <v>0.99883758116806198</v>
      </c>
      <c r="S46" s="22">
        <v>1.1971448608189081</v>
      </c>
      <c r="T46" s="22">
        <v>0.9</v>
      </c>
      <c r="U46" s="22">
        <v>0.67700000000000005</v>
      </c>
    </row>
    <row r="47" spans="1:33" x14ac:dyDescent="0.2">
      <c r="A47" t="s">
        <v>5</v>
      </c>
      <c r="B47">
        <f>B32/B33</f>
        <v>1.0252027590388828</v>
      </c>
      <c r="C47">
        <f t="shared" ref="C47:M47" si="10">C32/C33</f>
        <v>0.93481291473819139</v>
      </c>
      <c r="D47">
        <f t="shared" si="10"/>
        <v>0.90180697378946784</v>
      </c>
      <c r="E47">
        <f t="shared" si="10"/>
        <v>0.88616540680771028</v>
      </c>
      <c r="F47">
        <f t="shared" si="10"/>
        <v>1.0361318602674778</v>
      </c>
      <c r="G47">
        <f t="shared" si="10"/>
        <v>0.86941358822009873</v>
      </c>
      <c r="H47">
        <f t="shared" si="10"/>
        <v>0.87254330446369066</v>
      </c>
      <c r="I47">
        <f t="shared" si="10"/>
        <v>0.80581326137851617</v>
      </c>
      <c r="J47">
        <f t="shared" si="10"/>
        <v>0.83564604728922831</v>
      </c>
      <c r="K47">
        <f t="shared" si="10"/>
        <v>0.86421714382805193</v>
      </c>
      <c r="L47">
        <f t="shared" si="10"/>
        <v>0.98212986214318576</v>
      </c>
      <c r="M47">
        <f t="shared" si="10"/>
        <v>1.0175545973014331</v>
      </c>
      <c r="N47">
        <f t="shared" si="9"/>
        <v>0.91928647660549467</v>
      </c>
    </row>
    <row r="48" spans="1:33" x14ac:dyDescent="0.2">
      <c r="A48" t="s">
        <v>6</v>
      </c>
      <c r="B48">
        <f>B34/B35</f>
        <v>1.1240322238319784</v>
      </c>
      <c r="C48">
        <f t="shared" ref="C48:M48" si="11">C34/C35</f>
        <v>0.94588987993378504</v>
      </c>
      <c r="D48">
        <f t="shared" si="11"/>
        <v>0.96660243270776836</v>
      </c>
      <c r="E48">
        <f t="shared" si="11"/>
        <v>1.0689559874165757</v>
      </c>
      <c r="F48">
        <f t="shared" si="11"/>
        <v>0.9168511609262735</v>
      </c>
      <c r="G48">
        <f t="shared" si="11"/>
        <v>0.84690633706872143</v>
      </c>
      <c r="H48">
        <f t="shared" si="11"/>
        <v>0.86491207907137146</v>
      </c>
      <c r="I48">
        <f t="shared" si="11"/>
        <v>0.78895912347239749</v>
      </c>
      <c r="J48">
        <f t="shared" si="11"/>
        <v>0.8446664317837973</v>
      </c>
      <c r="K48">
        <f t="shared" si="11"/>
        <v>0.94080629301868202</v>
      </c>
      <c r="L48">
        <f t="shared" si="11"/>
        <v>0.80195011559603535</v>
      </c>
      <c r="M48">
        <f t="shared" si="11"/>
        <v>0.88149577483532005</v>
      </c>
      <c r="N48">
        <f t="shared" si="9"/>
        <v>0.91600231997189219</v>
      </c>
    </row>
    <row r="49" spans="1:15" x14ac:dyDescent="0.2">
      <c r="A49" t="s">
        <v>2</v>
      </c>
      <c r="B49">
        <f>B36/B37</f>
        <v>0.97742538946262969</v>
      </c>
      <c r="C49">
        <f t="shared" ref="C49:M49" si="12">C36/C37</f>
        <v>1.0222147085170283</v>
      </c>
      <c r="D49">
        <f t="shared" si="12"/>
        <v>1.1432651987165341</v>
      </c>
      <c r="E49">
        <f t="shared" si="12"/>
        <v>1.0319047456818724</v>
      </c>
      <c r="F49">
        <f t="shared" si="12"/>
        <v>0.83050606029213714</v>
      </c>
      <c r="G49">
        <f t="shared" si="12"/>
        <v>0.84931037937483322</v>
      </c>
      <c r="H49">
        <f t="shared" si="12"/>
        <v>0.8548446127651449</v>
      </c>
      <c r="I49">
        <f t="shared" si="12"/>
        <v>0.76882525675835212</v>
      </c>
      <c r="J49">
        <f t="shared" si="12"/>
        <v>0.71111236797081501</v>
      </c>
      <c r="K49">
        <f t="shared" si="12"/>
        <v>0.84939635066538588</v>
      </c>
      <c r="L49">
        <f t="shared" si="12"/>
        <v>0.73916754920936312</v>
      </c>
      <c r="M49">
        <f t="shared" si="12"/>
        <v>0.75347857455744705</v>
      </c>
      <c r="N49">
        <f t="shared" si="9"/>
        <v>0.87762093283096176</v>
      </c>
    </row>
    <row r="50" spans="1:15" x14ac:dyDescent="0.2">
      <c r="A50" t="s">
        <v>3</v>
      </c>
      <c r="B50">
        <f>B38/B39</f>
        <v>1.1719885667619452</v>
      </c>
      <c r="C50">
        <f t="shared" ref="C50:M50" si="13">C38/C39</f>
        <v>0.96638377445339418</v>
      </c>
      <c r="D50">
        <f t="shared" si="13"/>
        <v>0.96455696202531704</v>
      </c>
      <c r="E50">
        <f t="shared" si="13"/>
        <v>1.011504424778761</v>
      </c>
      <c r="F50">
        <f t="shared" si="13"/>
        <v>0.9806817744603894</v>
      </c>
      <c r="G50">
        <f t="shared" si="13"/>
        <v>0.79933192686357313</v>
      </c>
      <c r="H50">
        <f t="shared" si="13"/>
        <v>0.89359105941384431</v>
      </c>
      <c r="I50">
        <f t="shared" si="13"/>
        <v>0.89408073700627377</v>
      </c>
      <c r="J50">
        <f t="shared" si="13"/>
        <v>0.8610169491525419</v>
      </c>
      <c r="K50">
        <f t="shared" si="13"/>
        <v>0.86348063366936989</v>
      </c>
      <c r="L50">
        <f t="shared" si="13"/>
        <v>0.90851756106257775</v>
      </c>
      <c r="M50">
        <f t="shared" si="13"/>
        <v>0.94863267255791728</v>
      </c>
      <c r="N50">
        <f t="shared" si="9"/>
        <v>0.93864725351715872</v>
      </c>
    </row>
    <row r="51" spans="1:15" x14ac:dyDescent="0.2">
      <c r="A51" t="s">
        <v>8</v>
      </c>
      <c r="B51">
        <f>B40/B41</f>
        <v>1.1971448608189081</v>
      </c>
      <c r="C51">
        <f t="shared" ref="C51:M51" si="14">C40/C41</f>
        <v>1.1113766028642735</v>
      </c>
      <c r="D51">
        <f t="shared" si="14"/>
        <v>1.0061711277311687</v>
      </c>
      <c r="E51">
        <f t="shared" si="14"/>
        <v>0.98642370700539905</v>
      </c>
      <c r="F51">
        <f t="shared" si="14"/>
        <v>0.84742449418434196</v>
      </c>
      <c r="G51">
        <f t="shared" si="14"/>
        <v>0.81520357991271231</v>
      </c>
      <c r="H51">
        <f t="shared" si="14"/>
        <v>0.81288035845649598</v>
      </c>
      <c r="I51">
        <f t="shared" si="14"/>
        <v>0.78319908818733575</v>
      </c>
      <c r="J51">
        <f t="shared" si="14"/>
        <v>0.67700328754966588</v>
      </c>
      <c r="K51">
        <f t="shared" si="14"/>
        <v>0.72226256025493563</v>
      </c>
      <c r="L51">
        <f t="shared" si="14"/>
        <v>0.82315302232710108</v>
      </c>
      <c r="M51">
        <f t="shared" si="14"/>
        <v>0.88576949392119086</v>
      </c>
      <c r="N51">
        <f t="shared" si="9"/>
        <v>0.88900101526779418</v>
      </c>
    </row>
    <row r="52" spans="1:15" x14ac:dyDescent="0.2">
      <c r="A52" t="s">
        <v>17</v>
      </c>
      <c r="B52">
        <f>B42/B43</f>
        <v>1.0697969543147201</v>
      </c>
      <c r="C52">
        <f t="shared" ref="C52:M52" si="15">C42/C43</f>
        <v>1.0184210526315793</v>
      </c>
      <c r="D52">
        <f t="shared" si="15"/>
        <v>0.94545383394082927</v>
      </c>
      <c r="E52">
        <f t="shared" si="15"/>
        <v>0.86742698925439976</v>
      </c>
      <c r="F52">
        <f t="shared" si="15"/>
        <v>0.80488578680203171</v>
      </c>
      <c r="G52">
        <f t="shared" si="15"/>
        <v>0.88701698953693231</v>
      </c>
      <c r="H52">
        <f t="shared" si="15"/>
        <v>0.93216820265142186</v>
      </c>
      <c r="I52">
        <f t="shared" si="15"/>
        <v>0.77901277787502321</v>
      </c>
      <c r="J52">
        <f t="shared" si="15"/>
        <v>0.691937771018722</v>
      </c>
      <c r="K52">
        <f t="shared" si="15"/>
        <v>0.71794609825346234</v>
      </c>
      <c r="L52">
        <f t="shared" si="15"/>
        <v>0.88659497729094161</v>
      </c>
      <c r="M52">
        <f t="shared" si="15"/>
        <v>0.98984771573604113</v>
      </c>
      <c r="N52">
        <f t="shared" si="9"/>
        <v>0.88254242910884206</v>
      </c>
    </row>
    <row r="54" spans="1:15" x14ac:dyDescent="0.2">
      <c r="B54" s="4">
        <f>AVERAGE(B46:B52)</f>
        <v>1.1084180509384833</v>
      </c>
      <c r="C54" s="4">
        <f t="shared" ref="C54:M54" si="16">AVERAGE(C46:C52)</f>
        <v>0.99002288635745195</v>
      </c>
      <c r="D54" s="4">
        <f t="shared" si="16"/>
        <v>0.97684997547390862</v>
      </c>
      <c r="E54" s="4">
        <f t="shared" si="16"/>
        <v>0.99323082239695359</v>
      </c>
      <c r="F54" s="4">
        <f t="shared" si="16"/>
        <v>0.9264982220017749</v>
      </c>
      <c r="G54" s="4">
        <f t="shared" si="16"/>
        <v>0.85631062635100064</v>
      </c>
      <c r="H54" s="4">
        <f t="shared" si="16"/>
        <v>0.88248400391244874</v>
      </c>
      <c r="I54" s="4">
        <f t="shared" si="16"/>
        <v>0.80358569050507689</v>
      </c>
      <c r="J54" s="4">
        <f t="shared" si="16"/>
        <v>0.78434820918248493</v>
      </c>
      <c r="K54" s="4">
        <f t="shared" si="16"/>
        <v>0.85909261773720424</v>
      </c>
      <c r="L54" s="4">
        <f t="shared" si="16"/>
        <v>0.88825884417720169</v>
      </c>
      <c r="M54" s="4">
        <f t="shared" si="16"/>
        <v>0.9399366369149339</v>
      </c>
      <c r="N54" s="16">
        <f>AVERAGE(B54:M54)</f>
        <v>0.91741971549574364</v>
      </c>
    </row>
    <row r="55" spans="1:15" x14ac:dyDescent="0.2">
      <c r="N55" s="17"/>
    </row>
    <row r="56" spans="1:15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6"/>
      <c r="O56" s="17"/>
    </row>
    <row r="59" spans="1:15" x14ac:dyDescent="0.2">
      <c r="N59">
        <f>CORREL(B46:N46,B47:N47)</f>
        <v>0.76745494682966686</v>
      </c>
    </row>
    <row r="60" spans="1:15" x14ac:dyDescent="0.2">
      <c r="A60" s="25"/>
      <c r="B60" s="25" t="s">
        <v>19</v>
      </c>
      <c r="C60" s="25" t="s">
        <v>20</v>
      </c>
      <c r="D60" s="25" t="s">
        <v>18</v>
      </c>
      <c r="E60" s="25" t="s">
        <v>21</v>
      </c>
    </row>
    <row r="61" spans="1:15" x14ac:dyDescent="0.2">
      <c r="A61" s="25" t="s">
        <v>4</v>
      </c>
      <c r="B61" s="26">
        <v>2</v>
      </c>
      <c r="C61" s="26">
        <v>1</v>
      </c>
      <c r="D61" s="26">
        <v>1</v>
      </c>
      <c r="E61" s="26"/>
    </row>
    <row r="62" spans="1:15" x14ac:dyDescent="0.2">
      <c r="A62" s="25" t="s">
        <v>5</v>
      </c>
      <c r="B62" s="26">
        <v>2</v>
      </c>
      <c r="C62" s="26">
        <v>1</v>
      </c>
      <c r="D62" s="26">
        <v>1</v>
      </c>
      <c r="E62" s="26">
        <v>1</v>
      </c>
    </row>
    <row r="63" spans="1:15" x14ac:dyDescent="0.2">
      <c r="A63" s="25" t="s">
        <v>6</v>
      </c>
      <c r="B63" s="26">
        <v>2</v>
      </c>
      <c r="C63" s="26">
        <v>1</v>
      </c>
      <c r="D63" s="26">
        <v>1</v>
      </c>
      <c r="E63" s="26">
        <v>1</v>
      </c>
    </row>
    <row r="64" spans="1:15" x14ac:dyDescent="0.2">
      <c r="A64" s="25" t="s">
        <v>2</v>
      </c>
      <c r="B64" s="26">
        <v>2</v>
      </c>
      <c r="C64" s="26">
        <v>1</v>
      </c>
      <c r="D64" s="26">
        <v>1</v>
      </c>
      <c r="E64" s="26">
        <v>1</v>
      </c>
    </row>
    <row r="65" spans="1:30" x14ac:dyDescent="0.2">
      <c r="A65" s="25" t="s">
        <v>3</v>
      </c>
      <c r="B65" s="26">
        <v>2</v>
      </c>
      <c r="C65" s="26">
        <v>1</v>
      </c>
      <c r="D65" s="26">
        <v>1</v>
      </c>
      <c r="E65" s="26">
        <v>1</v>
      </c>
    </row>
    <row r="66" spans="1:30" x14ac:dyDescent="0.2">
      <c r="A66" s="25" t="s">
        <v>8</v>
      </c>
      <c r="B66" s="26">
        <v>1</v>
      </c>
      <c r="C66" s="26">
        <v>1</v>
      </c>
      <c r="D66" s="26">
        <v>1</v>
      </c>
      <c r="AB66" s="15"/>
      <c r="AC66" s="15"/>
      <c r="AD66" s="15"/>
    </row>
    <row r="67" spans="1:30" x14ac:dyDescent="0.2">
      <c r="A67" s="25" t="s">
        <v>17</v>
      </c>
      <c r="B67" s="26">
        <v>1</v>
      </c>
      <c r="D67" s="26">
        <v>1</v>
      </c>
    </row>
  </sheetData>
  <conditionalFormatting sqref="AG36">
    <cfRule type="colorScale" priority="5">
      <colorScale>
        <cfvo type="min"/>
        <cfvo type="percentile" val="50"/>
        <cfvo type="max"/>
        <color rgb="FFFF0000"/>
        <color theme="0"/>
        <color rgb="FF63BE7B"/>
      </colorScale>
    </cfRule>
  </conditionalFormatting>
  <conditionalFormatting sqref="S36:AF44">
    <cfRule type="colorScale" priority="3">
      <colorScale>
        <cfvo type="min"/>
        <cfvo type="percentile" val="50"/>
        <cfvo type="max"/>
        <color rgb="FFFF0000"/>
        <color theme="0"/>
        <color rgb="FF63BE7B"/>
      </colorScale>
    </cfRule>
  </conditionalFormatting>
  <conditionalFormatting sqref="S46:U46">
    <cfRule type="colorScale" priority="1">
      <colorScale>
        <cfvo type="min"/>
        <cfvo type="percentile" val="50"/>
        <cfvo type="max"/>
        <color rgb="FFFF0000"/>
        <color theme="0"/>
        <color rgb="FF63BE7B"/>
      </colorScale>
    </cfRule>
  </conditionalFormatting>
  <pageMargins left="0.7" right="0.7" top="0.75" bottom="0.75" header="0.3" footer="0.3"/>
  <pageSetup paperSize="9" orientation="portrait" horizontalDpi="0" verticalDpi="0"/>
  <ignoredErrors>
    <ignoredError sqref="S44:AD44" formulaRange="1"/>
  </ignoredError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11F3F1E5-E0B2-344A-B5EC-E5F54D7D79C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'25v2'!AG30:AG34</xm:f>
              <xm:sqref>AG35</xm:sqref>
            </x14:sparkline>
          </x14:sparklines>
        </x14:sparklineGroup>
        <x14:sparklineGroup displayEmptyCellsAs="gap" xr2:uid="{B49D9C62-18DE-964B-BEBF-9A4C36E003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'25v2'!B46:N46</xm:f>
              <xm:sqref>O46</xm:sqref>
            </x14:sparkline>
            <x14:sparkline>
              <xm:f>'25v2'!B47:N47</xm:f>
              <xm:sqref>O47</xm:sqref>
            </x14:sparkline>
            <x14:sparkline>
              <xm:f>'25v2'!B48:N48</xm:f>
              <xm:sqref>O48</xm:sqref>
            </x14:sparkline>
            <x14:sparkline>
              <xm:f>'25v2'!B49:N49</xm:f>
              <xm:sqref>O49</xm:sqref>
            </x14:sparkline>
            <x14:sparkline>
              <xm:f>'25v2'!B50:N50</xm:f>
              <xm:sqref>O50</xm:sqref>
            </x14:sparkline>
            <x14:sparkline>
              <xm:f>'25v2'!B51:N51</xm:f>
              <xm:sqref>O51</xm:sqref>
            </x14:sparkline>
            <x14:sparkline>
              <xm:f>'25v2'!B52:N52</xm:f>
              <xm:sqref>O52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177</vt:lpstr>
      <vt:lpstr>25</vt:lpstr>
      <vt:lpstr>25v2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2021-10-14T22:04:05Z</dcterms:created>
  <dcterms:modified xsi:type="dcterms:W3CDTF">2021-12-28T09:07:33Z</dcterms:modified>
</cp:coreProperties>
</file>